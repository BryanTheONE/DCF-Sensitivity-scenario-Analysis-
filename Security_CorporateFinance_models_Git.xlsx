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DB\Other\ipybn\excel_analysis\3_statment_model_analysis\caso_azienda_francese\"/>
    </mc:Choice>
  </mc:AlternateContent>
  <xr:revisionPtr revIDLastSave="0" documentId="13_ncr:1_{750FAEEF-6639-4AD4-AF7E-731039C4B220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Info_Schedule" sheetId="4" r:id="rId1"/>
    <sheet name="sensitivity_analysis" sheetId="3" r:id="rId2"/>
    <sheet name="3_statement_model" sheetId="1" r:id="rId3"/>
    <sheet name="EV_EqV" sheetId="2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3" l="1"/>
  <c r="C108" i="3"/>
  <c r="C200" i="1"/>
  <c r="C199" i="1"/>
  <c r="D199" i="1" s="1"/>
  <c r="E199" i="1" s="1"/>
  <c r="F199" i="1" s="1"/>
  <c r="G199" i="1" s="1"/>
  <c r="H199" i="1" s="1"/>
  <c r="H166" i="1"/>
  <c r="G166" i="1"/>
  <c r="F166" i="1"/>
  <c r="E166" i="1"/>
  <c r="D166" i="1"/>
  <c r="H165" i="1"/>
  <c r="G165" i="1"/>
  <c r="F165" i="1"/>
  <c r="E165" i="1"/>
  <c r="D165" i="1"/>
  <c r="G15" i="3"/>
  <c r="F15" i="3"/>
  <c r="E15" i="3"/>
  <c r="D15" i="3"/>
  <c r="C15" i="3"/>
  <c r="H63" i="1"/>
  <c r="H18" i="1" s="1"/>
  <c r="H91" i="1" s="1"/>
  <c r="H82" i="3" s="1"/>
  <c r="G63" i="1"/>
  <c r="G18" i="1" s="1"/>
  <c r="G91" i="1" s="1"/>
  <c r="G82" i="3" s="1"/>
  <c r="F63" i="1"/>
  <c r="F18" i="1" s="1"/>
  <c r="F91" i="1" s="1"/>
  <c r="F82" i="3" s="1"/>
  <c r="E63" i="1"/>
  <c r="E18" i="1" s="1"/>
  <c r="E91" i="1" s="1"/>
  <c r="E82" i="3" s="1"/>
  <c r="H48" i="1"/>
  <c r="G48" i="1"/>
  <c r="F48" i="1"/>
  <c r="E48" i="1"/>
  <c r="D48" i="1"/>
  <c r="D63" i="1"/>
  <c r="D18" i="1" s="1"/>
  <c r="D91" i="1" s="1"/>
  <c r="D82" i="3" s="1"/>
  <c r="H65" i="1"/>
  <c r="H20" i="1" s="1"/>
  <c r="G65" i="1"/>
  <c r="G20" i="1" s="1"/>
  <c r="F65" i="1"/>
  <c r="F20" i="1" s="1"/>
  <c r="E65" i="1"/>
  <c r="E20" i="1" s="1"/>
  <c r="D65" i="1"/>
  <c r="D20" i="1" s="1"/>
  <c r="H50" i="1"/>
  <c r="G50" i="1"/>
  <c r="F50" i="1"/>
  <c r="E50" i="1"/>
  <c r="D50" i="1"/>
  <c r="C65" i="1"/>
  <c r="C50" i="1"/>
  <c r="C87" i="3"/>
  <c r="C57" i="3"/>
  <c r="C92" i="3" s="1"/>
  <c r="C14" i="2"/>
  <c r="C72" i="3"/>
  <c r="C82" i="3"/>
  <c r="D4" i="3"/>
  <c r="E4" i="3" s="1"/>
  <c r="F4" i="3" s="1"/>
  <c r="G4" i="3" s="1"/>
  <c r="H4" i="3" s="1"/>
  <c r="H21" i="1"/>
  <c r="H153" i="1" s="1"/>
  <c r="H130" i="1" s="1"/>
  <c r="G21" i="1"/>
  <c r="G153" i="1" s="1"/>
  <c r="G130" i="1" s="1"/>
  <c r="F21" i="1"/>
  <c r="F153" i="1" s="1"/>
  <c r="F130" i="1" s="1"/>
  <c r="E21" i="1"/>
  <c r="E153" i="1" s="1"/>
  <c r="E130" i="1" s="1"/>
  <c r="D21" i="1"/>
  <c r="D153" i="1" s="1"/>
  <c r="D130" i="1" s="1"/>
  <c r="H19" i="1"/>
  <c r="H93" i="1" s="1"/>
  <c r="H137" i="1" s="1"/>
  <c r="G19" i="1"/>
  <c r="G93" i="1" s="1"/>
  <c r="G137" i="1" s="1"/>
  <c r="F19" i="1"/>
  <c r="F93" i="1" s="1"/>
  <c r="F137" i="1" s="1"/>
  <c r="E19" i="1"/>
  <c r="E93" i="1" s="1"/>
  <c r="E137" i="1" s="1"/>
  <c r="D19" i="1"/>
  <c r="D93" i="1" s="1"/>
  <c r="D137" i="1" s="1"/>
  <c r="H17" i="1"/>
  <c r="H90" i="1" s="1"/>
  <c r="G17" i="1"/>
  <c r="G90" i="1" s="1"/>
  <c r="F17" i="1"/>
  <c r="F90" i="1" s="1"/>
  <c r="E17" i="1"/>
  <c r="E90" i="1" s="1"/>
  <c r="D17" i="1"/>
  <c r="D90" i="1" s="1"/>
  <c r="H16" i="1"/>
  <c r="G16" i="1"/>
  <c r="F16" i="1"/>
  <c r="E16" i="1"/>
  <c r="D16" i="1"/>
  <c r="D86" i="1" s="1"/>
  <c r="H15" i="1"/>
  <c r="G15" i="1"/>
  <c r="F15" i="1"/>
  <c r="E15" i="1"/>
  <c r="D15" i="1"/>
  <c r="D85" i="1" s="1"/>
  <c r="H14" i="1"/>
  <c r="G14" i="1"/>
  <c r="F14" i="1"/>
  <c r="E14" i="1"/>
  <c r="D14" i="1"/>
  <c r="D80" i="1" s="1"/>
  <c r="H13" i="1"/>
  <c r="G13" i="1"/>
  <c r="F13" i="1"/>
  <c r="E13" i="1"/>
  <c r="D13" i="1"/>
  <c r="D79" i="1" s="1"/>
  <c r="E79" i="1" s="1"/>
  <c r="H12" i="1"/>
  <c r="G12" i="1"/>
  <c r="F12" i="1"/>
  <c r="E12" i="1"/>
  <c r="D12" i="1"/>
  <c r="D78" i="1" s="1"/>
  <c r="E78" i="1" s="1"/>
  <c r="F78" i="1" s="1"/>
  <c r="H11" i="1"/>
  <c r="G11" i="1"/>
  <c r="F11" i="1"/>
  <c r="E11" i="1"/>
  <c r="D11" i="1"/>
  <c r="D74" i="1" s="1"/>
  <c r="H10" i="1"/>
  <c r="G10" i="1"/>
  <c r="F10" i="1"/>
  <c r="E10" i="1"/>
  <c r="D10" i="1"/>
  <c r="D72" i="1" s="1"/>
  <c r="H9" i="1"/>
  <c r="G9" i="1"/>
  <c r="F9" i="1"/>
  <c r="E9" i="1"/>
  <c r="D9" i="1"/>
  <c r="D71" i="1" s="1"/>
  <c r="C73" i="1"/>
  <c r="C75" i="1" s="1"/>
  <c r="C76" i="1" s="1"/>
  <c r="F36" i="2"/>
  <c r="C13" i="2"/>
  <c r="C31" i="2"/>
  <c r="F35" i="2" s="1"/>
  <c r="C37" i="2"/>
  <c r="D4" i="2"/>
  <c r="E4" i="2" s="1"/>
  <c r="F4" i="2" s="1"/>
  <c r="G4" i="2" s="1"/>
  <c r="H180" i="1"/>
  <c r="G180" i="1"/>
  <c r="F180" i="1"/>
  <c r="E180" i="1"/>
  <c r="D180" i="1"/>
  <c r="C180" i="1"/>
  <c r="C179" i="1"/>
  <c r="C144" i="1"/>
  <c r="C145" i="1" s="1"/>
  <c r="H171" i="1"/>
  <c r="G171" i="1"/>
  <c r="F171" i="1"/>
  <c r="E171" i="1"/>
  <c r="H161" i="1"/>
  <c r="G161" i="1"/>
  <c r="F161" i="1"/>
  <c r="E161" i="1"/>
  <c r="H160" i="1"/>
  <c r="G160" i="1"/>
  <c r="F160" i="1"/>
  <c r="E160" i="1"/>
  <c r="H157" i="1"/>
  <c r="G157" i="1"/>
  <c r="F157" i="1"/>
  <c r="E157" i="1"/>
  <c r="H156" i="1"/>
  <c r="G156" i="1"/>
  <c r="F156" i="1"/>
  <c r="E156" i="1"/>
  <c r="H155" i="1"/>
  <c r="G155" i="1"/>
  <c r="F155" i="1"/>
  <c r="E155" i="1"/>
  <c r="D171" i="1"/>
  <c r="D151" i="1"/>
  <c r="D161" i="1"/>
  <c r="D160" i="1"/>
  <c r="D157" i="1"/>
  <c r="D156" i="1"/>
  <c r="D155" i="1"/>
  <c r="C157" i="1"/>
  <c r="C156" i="1"/>
  <c r="C155" i="1"/>
  <c r="C109" i="1"/>
  <c r="C115" i="1"/>
  <c r="C92" i="1"/>
  <c r="C87" i="1"/>
  <c r="C81" i="1"/>
  <c r="D4" i="1"/>
  <c r="H158" i="1" l="1"/>
  <c r="H131" i="1" s="1"/>
  <c r="G158" i="1"/>
  <c r="G131" i="1" s="1"/>
  <c r="E158" i="1"/>
  <c r="E131" i="1" s="1"/>
  <c r="F158" i="1"/>
  <c r="F131" i="1" s="1"/>
  <c r="E72" i="1"/>
  <c r="F72" i="1" s="1"/>
  <c r="G72" i="1" s="1"/>
  <c r="H72" i="1" s="1"/>
  <c r="G78" i="1"/>
  <c r="H78" i="1" s="1"/>
  <c r="F79" i="1"/>
  <c r="G79" i="1" s="1"/>
  <c r="H79" i="1" s="1"/>
  <c r="E74" i="1"/>
  <c r="F74" i="1" s="1"/>
  <c r="G74" i="1" s="1"/>
  <c r="H74" i="1" s="1"/>
  <c r="C65" i="3"/>
  <c r="C61" i="3"/>
  <c r="E86" i="1"/>
  <c r="F86" i="1" s="1"/>
  <c r="G86" i="1" s="1"/>
  <c r="H86" i="1" s="1"/>
  <c r="H92" i="1"/>
  <c r="H167" i="1" s="1"/>
  <c r="H168" i="1" s="1"/>
  <c r="H138" i="1" s="1"/>
  <c r="F92" i="1"/>
  <c r="F167" i="1" s="1"/>
  <c r="F168" i="1" s="1"/>
  <c r="F138" i="1" s="1"/>
  <c r="D73" i="1"/>
  <c r="E71" i="1"/>
  <c r="E92" i="1"/>
  <c r="E167" i="1" s="1"/>
  <c r="E168" i="1" s="1"/>
  <c r="E138" i="1" s="1"/>
  <c r="C15" i="2"/>
  <c r="F19" i="2" s="1"/>
  <c r="D37" i="2"/>
  <c r="D35" i="2"/>
  <c r="C40" i="2" s="1"/>
  <c r="D36" i="2"/>
  <c r="C41" i="2" s="1"/>
  <c r="G92" i="1"/>
  <c r="G167" i="1" s="1"/>
  <c r="G168" i="1" s="1"/>
  <c r="G138" i="1" s="1"/>
  <c r="E4" i="1"/>
  <c r="D179" i="1"/>
  <c r="D114" i="1"/>
  <c r="E151" i="1" s="1"/>
  <c r="D92" i="1"/>
  <c r="D167" i="1" s="1"/>
  <c r="D168" i="1" s="1"/>
  <c r="D138" i="1" s="1"/>
  <c r="D152" i="1"/>
  <c r="D158" i="1"/>
  <c r="D131" i="1" s="1"/>
  <c r="E80" i="1"/>
  <c r="E129" i="1" s="1"/>
  <c r="D129" i="1"/>
  <c r="D87" i="1"/>
  <c r="E85" i="1"/>
  <c r="D81" i="1"/>
  <c r="D75" i="1" l="1"/>
  <c r="D65" i="3"/>
  <c r="D61" i="3"/>
  <c r="D57" i="3"/>
  <c r="D92" i="3" s="1"/>
  <c r="F71" i="1"/>
  <c r="E73" i="1"/>
  <c r="C42" i="2"/>
  <c r="H100" i="3" s="1"/>
  <c r="C82" i="1"/>
  <c r="C58" i="3" s="1"/>
  <c r="E179" i="1"/>
  <c r="F4" i="1"/>
  <c r="E152" i="1"/>
  <c r="E114" i="1"/>
  <c r="D115" i="1"/>
  <c r="D150" i="1"/>
  <c r="F80" i="1"/>
  <c r="D128" i="1"/>
  <c r="D162" i="1"/>
  <c r="D163" i="1" s="1"/>
  <c r="D134" i="1" s="1"/>
  <c r="E87" i="1"/>
  <c r="E128" i="1" s="1"/>
  <c r="F85" i="1"/>
  <c r="G85" i="1" s="1"/>
  <c r="E81" i="1"/>
  <c r="D133" i="1" l="1"/>
  <c r="G80" i="1"/>
  <c r="F129" i="1"/>
  <c r="C59" i="3"/>
  <c r="C12" i="3" s="1"/>
  <c r="C81" i="3"/>
  <c r="C83" i="3" s="1"/>
  <c r="C73" i="3"/>
  <c r="C74" i="3" s="1"/>
  <c r="C13" i="3" s="1"/>
  <c r="C88" i="3"/>
  <c r="C89" i="3" s="1"/>
  <c r="H105" i="3"/>
  <c r="D91" i="3"/>
  <c r="D93" i="3" s="1"/>
  <c r="D76" i="1"/>
  <c r="D82" i="1"/>
  <c r="E75" i="1"/>
  <c r="E65" i="3"/>
  <c r="E61" i="3"/>
  <c r="E57" i="3"/>
  <c r="E92" i="3" s="1"/>
  <c r="G71" i="1"/>
  <c r="F73" i="1"/>
  <c r="C83" i="1"/>
  <c r="C202" i="1" s="1"/>
  <c r="C88" i="1"/>
  <c r="C62" i="3" s="1"/>
  <c r="C63" i="3" s="1"/>
  <c r="C181" i="1"/>
  <c r="C182" i="1" s="1"/>
  <c r="F179" i="1"/>
  <c r="G4" i="1"/>
  <c r="G87" i="1"/>
  <c r="G128" i="1" s="1"/>
  <c r="H85" i="1"/>
  <c r="H87" i="1" s="1"/>
  <c r="H128" i="1" s="1"/>
  <c r="F151" i="1"/>
  <c r="E150" i="1"/>
  <c r="F152" i="1"/>
  <c r="E162" i="1"/>
  <c r="E163" i="1" s="1"/>
  <c r="E134" i="1" s="1"/>
  <c r="F114" i="1"/>
  <c r="E115" i="1"/>
  <c r="F87" i="1"/>
  <c r="F128" i="1" s="1"/>
  <c r="F81" i="1"/>
  <c r="E133" i="1" l="1"/>
  <c r="G129" i="1"/>
  <c r="H80" i="1"/>
  <c r="G81" i="1"/>
  <c r="E91" i="3"/>
  <c r="E93" i="3" s="1"/>
  <c r="D83" i="1"/>
  <c r="D202" i="1" s="1"/>
  <c r="D58" i="3"/>
  <c r="D88" i="3" s="1"/>
  <c r="D181" i="1"/>
  <c r="D182" i="1" s="1"/>
  <c r="D88" i="1"/>
  <c r="E76" i="1"/>
  <c r="E82" i="1"/>
  <c r="F75" i="1"/>
  <c r="F65" i="3"/>
  <c r="F61" i="3"/>
  <c r="F57" i="3"/>
  <c r="F92" i="3" s="1"/>
  <c r="H71" i="1"/>
  <c r="H73" i="1" s="1"/>
  <c r="G73" i="1"/>
  <c r="C89" i="1"/>
  <c r="C94" i="1"/>
  <c r="H4" i="1"/>
  <c r="H179" i="1" s="1"/>
  <c r="G179" i="1"/>
  <c r="G151" i="1"/>
  <c r="F150" i="1"/>
  <c r="G152" i="1"/>
  <c r="F162" i="1"/>
  <c r="F163" i="1" s="1"/>
  <c r="F134" i="1" s="1"/>
  <c r="F115" i="1"/>
  <c r="F133" i="1" l="1"/>
  <c r="H129" i="1"/>
  <c r="H81" i="1"/>
  <c r="F91" i="3"/>
  <c r="F93" i="3" s="1"/>
  <c r="D59" i="3"/>
  <c r="D12" i="3" s="1"/>
  <c r="D73" i="3"/>
  <c r="D81" i="3" s="1"/>
  <c r="D83" i="3" s="1"/>
  <c r="D125" i="1"/>
  <c r="D89" i="1"/>
  <c r="D62" i="3"/>
  <c r="D63" i="3" s="1"/>
  <c r="D94" i="1"/>
  <c r="E83" i="1"/>
  <c r="E202" i="1" s="1"/>
  <c r="E58" i="3"/>
  <c r="E88" i="3" s="1"/>
  <c r="E88" i="1"/>
  <c r="E125" i="1" s="1"/>
  <c r="E181" i="1"/>
  <c r="E182" i="1" s="1"/>
  <c r="F76" i="1"/>
  <c r="F82" i="1"/>
  <c r="H75" i="1"/>
  <c r="H65" i="3"/>
  <c r="H61" i="3"/>
  <c r="H57" i="3"/>
  <c r="H92" i="3" s="1"/>
  <c r="G75" i="1"/>
  <c r="G65" i="3"/>
  <c r="G61" i="3"/>
  <c r="G57" i="3"/>
  <c r="G92" i="3" s="1"/>
  <c r="C96" i="1"/>
  <c r="C97" i="1" s="1"/>
  <c r="C95" i="1"/>
  <c r="G115" i="1"/>
  <c r="G150" i="1"/>
  <c r="H151" i="1"/>
  <c r="H152" i="1"/>
  <c r="H162" i="1"/>
  <c r="H163" i="1" s="1"/>
  <c r="H134" i="1" s="1"/>
  <c r="G162" i="1"/>
  <c r="G163" i="1" s="1"/>
  <c r="G134" i="1" s="1"/>
  <c r="H133" i="1" l="1"/>
  <c r="G133" i="1"/>
  <c r="H91" i="3"/>
  <c r="H93" i="3" s="1"/>
  <c r="G91" i="3"/>
  <c r="G93" i="3" s="1"/>
  <c r="D117" i="1"/>
  <c r="D172" i="1" s="1"/>
  <c r="C66" i="3"/>
  <c r="C67" i="3" s="1"/>
  <c r="E59" i="3"/>
  <c r="E12" i="3" s="1"/>
  <c r="E73" i="3"/>
  <c r="E81" i="3" s="1"/>
  <c r="E83" i="3" s="1"/>
  <c r="G76" i="1"/>
  <c r="G82" i="1"/>
  <c r="D95" i="1"/>
  <c r="D96" i="1"/>
  <c r="E89" i="1"/>
  <c r="E62" i="3"/>
  <c r="E63" i="3" s="1"/>
  <c r="E94" i="1"/>
  <c r="F181" i="1"/>
  <c r="F182" i="1" s="1"/>
  <c r="F83" i="1"/>
  <c r="F202" i="1" s="1"/>
  <c r="F58" i="3"/>
  <c r="F88" i="3" s="1"/>
  <c r="F88" i="1"/>
  <c r="H76" i="1"/>
  <c r="H82" i="1"/>
  <c r="C118" i="1"/>
  <c r="C119" i="1" s="1"/>
  <c r="C98" i="1"/>
  <c r="C201" i="1" s="1"/>
  <c r="H150" i="1"/>
  <c r="H115" i="1"/>
  <c r="C110" i="3" l="1"/>
  <c r="F89" i="1"/>
  <c r="F125" i="1"/>
  <c r="F59" i="3"/>
  <c r="F12" i="3" s="1"/>
  <c r="F73" i="3"/>
  <c r="F81" i="3" s="1"/>
  <c r="F83" i="3" s="1"/>
  <c r="G58" i="3"/>
  <c r="G88" i="3" s="1"/>
  <c r="G83" i="1"/>
  <c r="G202" i="1" s="1"/>
  <c r="G88" i="1"/>
  <c r="G125" i="1" s="1"/>
  <c r="G181" i="1"/>
  <c r="G182" i="1" s="1"/>
  <c r="D126" i="1"/>
  <c r="D127" i="1" s="1"/>
  <c r="D108" i="3" s="1"/>
  <c r="D97" i="1"/>
  <c r="F62" i="3"/>
  <c r="F63" i="3" s="1"/>
  <c r="F94" i="1"/>
  <c r="H58" i="3"/>
  <c r="H88" i="3" s="1"/>
  <c r="H83" i="1"/>
  <c r="H202" i="1" s="1"/>
  <c r="H88" i="1"/>
  <c r="H125" i="1" s="1"/>
  <c r="H181" i="1"/>
  <c r="H182" i="1" s="1"/>
  <c r="E96" i="1"/>
  <c r="E126" i="1" s="1"/>
  <c r="E127" i="1" s="1"/>
  <c r="E95" i="1"/>
  <c r="C120" i="1"/>
  <c r="D170" i="1"/>
  <c r="D173" i="1" s="1"/>
  <c r="D140" i="1" s="1"/>
  <c r="C16" i="3" l="1"/>
  <c r="C111" i="3"/>
  <c r="C121" i="1"/>
  <c r="E132" i="1"/>
  <c r="E135" i="1" s="1"/>
  <c r="E136" i="1" s="1"/>
  <c r="E108" i="3"/>
  <c r="H73" i="3"/>
  <c r="H81" i="3" s="1"/>
  <c r="H83" i="3" s="1"/>
  <c r="G59" i="3"/>
  <c r="G12" i="3" s="1"/>
  <c r="G73" i="3"/>
  <c r="G81" i="3" s="1"/>
  <c r="G83" i="3" s="1"/>
  <c r="D132" i="1"/>
  <c r="D135" i="1" s="1"/>
  <c r="H59" i="3"/>
  <c r="H12" i="3" s="1"/>
  <c r="H62" i="3"/>
  <c r="H63" i="3" s="1"/>
  <c r="H94" i="1"/>
  <c r="H89" i="1"/>
  <c r="G62" i="3"/>
  <c r="G63" i="3" s="1"/>
  <c r="G89" i="1"/>
  <c r="G94" i="1"/>
  <c r="D66" i="3"/>
  <c r="D67" i="3" s="1"/>
  <c r="D118" i="1"/>
  <c r="D119" i="1" s="1"/>
  <c r="E117" i="1"/>
  <c r="E172" i="1" s="1"/>
  <c r="D98" i="1"/>
  <c r="D201" i="1" s="1"/>
  <c r="F95" i="1"/>
  <c r="F96" i="1"/>
  <c r="F126" i="1" s="1"/>
  <c r="F127" i="1" s="1"/>
  <c r="E97" i="1"/>
  <c r="E139" i="1" l="1"/>
  <c r="E87" i="3"/>
  <c r="F132" i="1"/>
  <c r="F135" i="1" s="1"/>
  <c r="F108" i="3"/>
  <c r="D87" i="3"/>
  <c r="D89" i="3" s="1"/>
  <c r="D14" i="3" s="1"/>
  <c r="D139" i="1"/>
  <c r="H95" i="1"/>
  <c r="H96" i="1"/>
  <c r="H126" i="1" s="1"/>
  <c r="H127" i="1" s="1"/>
  <c r="G95" i="1"/>
  <c r="G96" i="1"/>
  <c r="G126" i="1" s="1"/>
  <c r="G127" i="1" s="1"/>
  <c r="F97" i="1"/>
  <c r="D120" i="1"/>
  <c r="E170" i="1"/>
  <c r="E173" i="1" s="1"/>
  <c r="E140" i="1" s="1"/>
  <c r="E66" i="3"/>
  <c r="E67" i="3" s="1"/>
  <c r="E98" i="1"/>
  <c r="E201" i="1" s="1"/>
  <c r="E118" i="1"/>
  <c r="E119" i="1" s="1"/>
  <c r="F117" i="1"/>
  <c r="E141" i="1" l="1"/>
  <c r="F139" i="1"/>
  <c r="F136" i="1"/>
  <c r="F87" i="3"/>
  <c r="H132" i="1"/>
  <c r="H135" i="1" s="1"/>
  <c r="H108" i="3"/>
  <c r="G132" i="1"/>
  <c r="G135" i="1" s="1"/>
  <c r="G108" i="3"/>
  <c r="C8" i="2"/>
  <c r="C9" i="2" s="1"/>
  <c r="D136" i="1"/>
  <c r="D141" i="1"/>
  <c r="D200" i="1" s="1"/>
  <c r="E89" i="3"/>
  <c r="E14" i="3" s="1"/>
  <c r="C14" i="3"/>
  <c r="H97" i="1"/>
  <c r="G97" i="1"/>
  <c r="F66" i="3"/>
  <c r="F67" i="3" s="1"/>
  <c r="F98" i="1"/>
  <c r="F201" i="1" s="1"/>
  <c r="F118" i="1"/>
  <c r="F119" i="1" s="1"/>
  <c r="F172" i="1"/>
  <c r="G117" i="1"/>
  <c r="F170" i="1"/>
  <c r="E120" i="1"/>
  <c r="G136" i="1" l="1"/>
  <c r="F8" i="2"/>
  <c r="E142" i="1"/>
  <c r="E200" i="1"/>
  <c r="H139" i="1"/>
  <c r="H136" i="1"/>
  <c r="H87" i="3"/>
  <c r="G139" i="1"/>
  <c r="G87" i="3"/>
  <c r="H117" i="1"/>
  <c r="D103" i="1"/>
  <c r="D109" i="3" s="1"/>
  <c r="D142" i="1"/>
  <c r="D144" i="1"/>
  <c r="D8" i="2"/>
  <c r="D9" i="2" s="1"/>
  <c r="F89" i="3"/>
  <c r="F14" i="3" s="1"/>
  <c r="G10" i="2"/>
  <c r="F14" i="2" s="1"/>
  <c r="H66" i="3"/>
  <c r="H67" i="3" s="1"/>
  <c r="H98" i="1"/>
  <c r="H201" i="1" s="1"/>
  <c r="H118" i="1"/>
  <c r="G66" i="3"/>
  <c r="G67" i="3" s="1"/>
  <c r="G98" i="1"/>
  <c r="G201" i="1" s="1"/>
  <c r="G118" i="1"/>
  <c r="G119" i="1" s="1"/>
  <c r="F173" i="1"/>
  <c r="F140" i="1" s="1"/>
  <c r="F141" i="1" s="1"/>
  <c r="F120" i="1"/>
  <c r="G170" i="1"/>
  <c r="G172" i="1"/>
  <c r="D110" i="3" l="1"/>
  <c r="F142" i="1"/>
  <c r="F200" i="1"/>
  <c r="D145" i="1"/>
  <c r="D72" i="3"/>
  <c r="D74" i="3" s="1"/>
  <c r="D13" i="3" s="1"/>
  <c r="D109" i="1"/>
  <c r="D121" i="1" s="1"/>
  <c r="E103" i="1"/>
  <c r="E109" i="3" s="1"/>
  <c r="E144" i="1"/>
  <c r="E8" i="2"/>
  <c r="E9" i="2" s="1"/>
  <c r="G89" i="3"/>
  <c r="G14" i="3" s="1"/>
  <c r="H89" i="3"/>
  <c r="H14" i="3" s="1"/>
  <c r="G173" i="1"/>
  <c r="G140" i="1" s="1"/>
  <c r="G141" i="1" s="1"/>
  <c r="H170" i="1"/>
  <c r="G120" i="1"/>
  <c r="H172" i="1"/>
  <c r="H119" i="1"/>
  <c r="E110" i="3" l="1"/>
  <c r="H120" i="1"/>
  <c r="G142" i="1"/>
  <c r="G200" i="1"/>
  <c r="E145" i="1"/>
  <c r="D111" i="3"/>
  <c r="D16" i="3"/>
  <c r="E72" i="3"/>
  <c r="E74" i="3" s="1"/>
  <c r="E13" i="3" s="1"/>
  <c r="F103" i="1"/>
  <c r="F109" i="3" s="1"/>
  <c r="E109" i="1"/>
  <c r="E121" i="1" s="1"/>
  <c r="F144" i="1"/>
  <c r="G8" i="2"/>
  <c r="G9" i="2" s="1"/>
  <c r="F9" i="2"/>
  <c r="H173" i="1"/>
  <c r="H140" i="1" s="1"/>
  <c r="H141" i="1" s="1"/>
  <c r="H200" i="1" s="1"/>
  <c r="F110" i="3" l="1"/>
  <c r="H142" i="1"/>
  <c r="F145" i="1"/>
  <c r="E111" i="3"/>
  <c r="E16" i="3"/>
  <c r="G103" i="1"/>
  <c r="G109" i="3" s="1"/>
  <c r="F109" i="1"/>
  <c r="F72" i="3"/>
  <c r="F74" i="3" s="1"/>
  <c r="F13" i="3" s="1"/>
  <c r="F13" i="2"/>
  <c r="F15" i="2" s="1"/>
  <c r="D8" i="3" s="1"/>
  <c r="G144" i="1"/>
  <c r="G110" i="3" l="1"/>
  <c r="G145" i="1"/>
  <c r="F121" i="1"/>
  <c r="F111" i="3"/>
  <c r="F16" i="3"/>
  <c r="G109" i="1"/>
  <c r="G121" i="1" s="1"/>
  <c r="G72" i="3"/>
  <c r="G74" i="3" s="1"/>
  <c r="G13" i="3" s="1"/>
  <c r="H103" i="1"/>
  <c r="H109" i="3" s="1"/>
  <c r="H102" i="3" s="1"/>
  <c r="H144" i="1"/>
  <c r="F18" i="2"/>
  <c r="F20" i="2" s="1"/>
  <c r="D9" i="3" s="1"/>
  <c r="H104" i="3"/>
  <c r="H106" i="3" s="1"/>
  <c r="H15" i="3" s="1"/>
  <c r="H145" i="1" l="1"/>
  <c r="G111" i="3"/>
  <c r="G16" i="3"/>
  <c r="H72" i="3"/>
  <c r="H74" i="3" s="1"/>
  <c r="H13" i="3" s="1"/>
  <c r="H109" i="1"/>
  <c r="H121" i="1" s="1"/>
  <c r="H110" i="3" l="1"/>
  <c r="H111" i="3" l="1"/>
  <c r="H16" i="3"/>
</calcChain>
</file>

<file path=xl/sharedStrings.xml><?xml version="1.0" encoding="utf-8"?>
<sst xmlns="http://schemas.openxmlformats.org/spreadsheetml/2006/main" count="285" uniqueCount="184">
  <si>
    <t>Forecast Periods</t>
  </si>
  <si>
    <t>Voce (€ milioni)</t>
  </si>
  <si>
    <t>revenues</t>
  </si>
  <si>
    <t>COGS</t>
  </si>
  <si>
    <t>SG&amp;A</t>
  </si>
  <si>
    <t>salari</t>
  </si>
  <si>
    <t>oneri sociali</t>
  </si>
  <si>
    <t>accantonamento TFR</t>
  </si>
  <si>
    <t>Total SG&amp;A</t>
  </si>
  <si>
    <t>D&amp;A</t>
  </si>
  <si>
    <t>tangibles</t>
  </si>
  <si>
    <t>intangibles</t>
  </si>
  <si>
    <t>Total D&amp;A</t>
  </si>
  <si>
    <t>oneri finanziari</t>
  </si>
  <si>
    <t>proventi finanziari</t>
  </si>
  <si>
    <t>x</t>
  </si>
  <si>
    <t>Assumptions</t>
  </si>
  <si>
    <t>Income statement</t>
  </si>
  <si>
    <t>tax rate</t>
  </si>
  <si>
    <t>Net Revenues</t>
  </si>
  <si>
    <t>Total Revenues</t>
  </si>
  <si>
    <t>EBITDA</t>
  </si>
  <si>
    <t>EBIT</t>
  </si>
  <si>
    <t>EBT</t>
  </si>
  <si>
    <t>Net financial interest</t>
  </si>
  <si>
    <t xml:space="preserve">Gross Margin </t>
  </si>
  <si>
    <t>Balance Sheet</t>
  </si>
  <si>
    <t>Cassa/Banca attiva</t>
  </si>
  <si>
    <t>Crediti commerciali</t>
  </si>
  <si>
    <t>Rimanenze</t>
  </si>
  <si>
    <t>Imm.ni finanziarie</t>
  </si>
  <si>
    <t>Totale Attivo</t>
  </si>
  <si>
    <t>Debiti commerciali</t>
  </si>
  <si>
    <t>Debiti verso banche</t>
  </si>
  <si>
    <t>Fondo TFR</t>
  </si>
  <si>
    <t>Capitale sociale</t>
  </si>
  <si>
    <t>Riserve</t>
  </si>
  <si>
    <t>Utile d'esercizio</t>
  </si>
  <si>
    <t>Passivo</t>
  </si>
  <si>
    <t>Tangibles assets</t>
  </si>
  <si>
    <t>Intangibles assets</t>
  </si>
  <si>
    <t>Attivo</t>
  </si>
  <si>
    <t>Total PN</t>
  </si>
  <si>
    <t>Totale Passivo+PN</t>
  </si>
  <si>
    <t>Check</t>
  </si>
  <si>
    <t>other incomes</t>
  </si>
  <si>
    <t>tangibles assets</t>
  </si>
  <si>
    <t>itangibles assets</t>
  </si>
  <si>
    <t>oenri sociali</t>
  </si>
  <si>
    <t>oneri gestione straordinaria</t>
  </si>
  <si>
    <t xml:space="preserve">Gestione straordinaria </t>
  </si>
  <si>
    <t>ΔNWC</t>
  </si>
  <si>
    <t>CashFlow Statement</t>
  </si>
  <si>
    <t>(+) EBIT</t>
  </si>
  <si>
    <t>(-) tax rate</t>
  </si>
  <si>
    <t>NOPAT</t>
  </si>
  <si>
    <t>(+) D&amp;A</t>
  </si>
  <si>
    <t>(-) CapEX</t>
  </si>
  <si>
    <t>PP&amp;E x</t>
  </si>
  <si>
    <t>PP&amp;E x-1</t>
  </si>
  <si>
    <t>D&amp;A x</t>
  </si>
  <si>
    <t>(+/-) ΔNWC</t>
  </si>
  <si>
    <t>(-) Uso Fondi</t>
  </si>
  <si>
    <t>CashFlow from operation</t>
  </si>
  <si>
    <t>Fondi Netto</t>
  </si>
  <si>
    <t>(+) fondo TFRx-1</t>
  </si>
  <si>
    <t>(+) accantonamento TFRx</t>
  </si>
  <si>
    <t>(-) liquidazione</t>
  </si>
  <si>
    <t>liquidazione TFR</t>
  </si>
  <si>
    <t>Equity</t>
  </si>
  <si>
    <t>(-) Riserve x</t>
  </si>
  <si>
    <t>(+) PN x-1</t>
  </si>
  <si>
    <t>(-) Capitale x</t>
  </si>
  <si>
    <t>(+) Debt x</t>
  </si>
  <si>
    <t>(-) debt x-1</t>
  </si>
  <si>
    <t>Debt ex</t>
  </si>
  <si>
    <t>Equity ex</t>
  </si>
  <si>
    <t>(+/-) saldo gestione finanziaria</t>
  </si>
  <si>
    <t>FCFE</t>
  </si>
  <si>
    <t>(+/-) saldo gestione patrimoniale</t>
  </si>
  <si>
    <t xml:space="preserve">CashFlow </t>
  </si>
  <si>
    <t>(+/-) Gestione straordinaria</t>
  </si>
  <si>
    <t>CF cumulato</t>
  </si>
  <si>
    <t>Net Revenues%</t>
  </si>
  <si>
    <t>CashFlow %</t>
  </si>
  <si>
    <t>Free cash flow to firm%</t>
  </si>
  <si>
    <t xml:space="preserve">x </t>
  </si>
  <si>
    <t>Data Visualitation</t>
  </si>
  <si>
    <t>Year</t>
  </si>
  <si>
    <t>debt</t>
  </si>
  <si>
    <t>debt/ebitda</t>
  </si>
  <si>
    <t>EBT%</t>
  </si>
  <si>
    <t>EBIT%</t>
  </si>
  <si>
    <t>EBITDA%</t>
  </si>
  <si>
    <t>Gross Margin%</t>
  </si>
  <si>
    <t>Project Valuation</t>
  </si>
  <si>
    <t>uFCFF</t>
  </si>
  <si>
    <t>TV</t>
  </si>
  <si>
    <t>Dati</t>
  </si>
  <si>
    <t>risk-free</t>
  </si>
  <si>
    <t>return-market</t>
  </si>
  <si>
    <t>B</t>
  </si>
  <si>
    <t>cost of debt</t>
  </si>
  <si>
    <t>leva finanziaria</t>
  </si>
  <si>
    <t>tasso crescita (g)</t>
  </si>
  <si>
    <t>WACC</t>
  </si>
  <si>
    <t>D</t>
  </si>
  <si>
    <t>E</t>
  </si>
  <si>
    <t>Total</t>
  </si>
  <si>
    <t>leverage</t>
  </si>
  <si>
    <t>Ke</t>
  </si>
  <si>
    <t>Kd</t>
  </si>
  <si>
    <t>Tax-Rate</t>
  </si>
  <si>
    <t>E weighted</t>
  </si>
  <si>
    <t>D weighted</t>
  </si>
  <si>
    <t>uDCF</t>
  </si>
  <si>
    <t>PFN</t>
  </si>
  <si>
    <t>(-) liquidity</t>
  </si>
  <si>
    <t>(+) financial debts</t>
  </si>
  <si>
    <t>EV</t>
  </si>
  <si>
    <t>(+) NPV CF</t>
  </si>
  <si>
    <t>(-) PFN</t>
  </si>
  <si>
    <t>Enterprise Value</t>
  </si>
  <si>
    <t>Equity Value</t>
  </si>
  <si>
    <t>(+) EV</t>
  </si>
  <si>
    <t>EqV</t>
  </si>
  <si>
    <t>Base Case</t>
  </si>
  <si>
    <t>Upside Case</t>
  </si>
  <si>
    <t>Downsize Case</t>
  </si>
  <si>
    <t>Live Case</t>
  </si>
  <si>
    <t>Live</t>
  </si>
  <si>
    <t>Base</t>
  </si>
  <si>
    <t>Upside</t>
  </si>
  <si>
    <t>Downside</t>
  </si>
  <si>
    <t>Sensitive Analysis</t>
  </si>
  <si>
    <t>leggenda:</t>
  </si>
  <si>
    <t>Indici di Redditività</t>
  </si>
  <si>
    <t>Historical Data</t>
  </si>
  <si>
    <t>Forecast Data</t>
  </si>
  <si>
    <t>Indici di sostenibilità</t>
  </si>
  <si>
    <t>Net Debt</t>
  </si>
  <si>
    <t>Net Debt/EBITA</t>
  </si>
  <si>
    <t>Oneri Finanziari</t>
  </si>
  <si>
    <t>Metriche di Efficienza del Capitale e Liquidità</t>
  </si>
  <si>
    <t>Cash Conversion Rate</t>
  </si>
  <si>
    <t>Operating Income (FCFF)</t>
  </si>
  <si>
    <t>CapEx</t>
  </si>
  <si>
    <t>Investment Efficient</t>
  </si>
  <si>
    <t>Metriche di Rendimento e Valutazione</t>
  </si>
  <si>
    <t>ROIC</t>
  </si>
  <si>
    <t>KPI area</t>
  </si>
  <si>
    <t>Leverage (Fixed data)</t>
  </si>
  <si>
    <t>NWC Efficiency</t>
  </si>
  <si>
    <t>xEV/EBITDA</t>
  </si>
  <si>
    <t>Capitale Investito netto (D+E)</t>
  </si>
  <si>
    <t>Revenues</t>
  </si>
  <si>
    <t>Liquidity</t>
  </si>
  <si>
    <t>Credit Risk</t>
  </si>
  <si>
    <t>Profitability</t>
  </si>
  <si>
    <t>Operating CashFlow (=FCFF)</t>
  </si>
  <si>
    <t>Dashboard KPI's</t>
  </si>
  <si>
    <t xml:space="preserve"> </t>
  </si>
  <si>
    <t>Variabili CF</t>
  </si>
  <si>
    <t>year</t>
  </si>
  <si>
    <t>Net Revenues %</t>
  </si>
  <si>
    <t>Cash Flow</t>
  </si>
  <si>
    <t>Ebitda/Total Revenues</t>
  </si>
  <si>
    <t>intangibles assets</t>
  </si>
  <si>
    <t>(+) OpEX</t>
  </si>
  <si>
    <t>CapEx/OpEx</t>
  </si>
  <si>
    <t>Valuation (EBITDAx)</t>
  </si>
  <si>
    <t xml:space="preserve">(+) Accantonamenti fondi </t>
  </si>
  <si>
    <t>(+) NPV TV</t>
  </si>
  <si>
    <t>Corso</t>
  </si>
  <si>
    <t>A05003 Corporate finance e M&amp;A</t>
  </si>
  <si>
    <t>Matricola</t>
  </si>
  <si>
    <t>Nome</t>
  </si>
  <si>
    <t>BRYAN</t>
  </si>
  <si>
    <t>Cognome</t>
  </si>
  <si>
    <t>LATTUADA</t>
  </si>
  <si>
    <t>Assigment_n</t>
  </si>
  <si>
    <t>3*</t>
  </si>
  <si>
    <t>EVA</t>
  </si>
  <si>
    <t>Debt Service Coverage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</si>
</sst>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[$€-40C]_-;\-* #,##0.00\ [$€-40C]_-;_-* &quot;-&quot;??\ [$€-40C]_-;_-@_-"/>
    <numFmt numFmtId="165" formatCode="_-* #,##0.00\ [$€-803]_-;\-* #,##0.00\ [$€-803]_-;_-* &quot;-&quot;??\ [$€-803]_-;_-@_-"/>
    <numFmt numFmtId="166" formatCode="_-&quot;€&quot;\ * #,##0.00_-;\-&quot;€&quot;\ * #,##0.00_-;_-&quot;€&quot;\ * &quot;-&quot;??_-;_-@_-"/>
    <numFmt numFmtId="167" formatCode="_-* #,##0.00\ [$€-407]_-;\-* #,##0.00\ [$€-407]_-;_-* &quot;-&quot;??\ [$€-407]_-;_-@_-"/>
    <numFmt numFmtId="168" formatCode="0.0%"/>
    <numFmt numFmtId="169" formatCode="_-&quot;€&quot;\ * #,##0_-;\-&quot;€&quot;\ * #,##0_-;_-&quot;€&quot;\ * &quot;-&quot;??_-;_-@_-"/>
    <numFmt numFmtId="170" formatCode="_-* #,##0.00\ [$€-456]_-;\-* #,##0.00\ [$€-456]_-;_-* &quot;-&quot;??\ [$€-456]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0"/>
      <name val="Times New Roman"/>
      <family val="1"/>
    </font>
    <font>
      <sz val="10"/>
      <name val="Arial"/>
      <family val="2"/>
    </font>
    <font>
      <b/>
      <sz val="11"/>
      <color theme="0"/>
      <name val="Times New Roman"/>
      <family val="1"/>
    </font>
    <font>
      <sz val="11"/>
      <color rgb="FF0070C0"/>
      <name val="Times New Roman"/>
      <family val="1"/>
    </font>
    <font>
      <i/>
      <sz val="11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i/>
      <sz val="11"/>
      <color rgb="FF0070C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0"/>
      <name val="Times New Roman"/>
      <family val="1"/>
    </font>
    <font>
      <sz val="18"/>
      <color theme="1"/>
      <name val="Times New Roman"/>
      <family val="1"/>
    </font>
    <font>
      <b/>
      <sz val="2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0" xfId="0" applyFont="1"/>
    <xf numFmtId="10" fontId="5" fillId="0" borderId="0" xfId="0" applyNumberFormat="1" applyFont="1"/>
    <xf numFmtId="0" fontId="6" fillId="0" borderId="0" xfId="0" applyFont="1"/>
    <xf numFmtId="0" fontId="7" fillId="0" borderId="0" xfId="0" applyFont="1"/>
    <xf numFmtId="165" fontId="5" fillId="0" borderId="0" xfId="0" applyNumberFormat="1" applyFont="1"/>
    <xf numFmtId="0" fontId="9" fillId="4" borderId="0" xfId="0" applyFont="1" applyFill="1"/>
    <xf numFmtId="0" fontId="11" fillId="4" borderId="0" xfId="0" applyFont="1" applyFill="1"/>
    <xf numFmtId="167" fontId="5" fillId="0" borderId="0" xfId="0" applyNumberFormat="1" applyFont="1"/>
    <xf numFmtId="0" fontId="6" fillId="0" borderId="1" xfId="0" applyFont="1" applyBorder="1"/>
    <xf numFmtId="0" fontId="8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2" fontId="5" fillId="0" borderId="0" xfId="0" applyNumberFormat="1" applyFont="1"/>
    <xf numFmtId="0" fontId="12" fillId="0" borderId="0" xfId="0" applyFont="1"/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7" fontId="6" fillId="0" borderId="0" xfId="0" applyNumberFormat="1" applyFont="1"/>
    <xf numFmtId="168" fontId="5" fillId="0" borderId="0" xfId="0" applyNumberFormat="1" applyFont="1"/>
    <xf numFmtId="0" fontId="6" fillId="0" borderId="2" xfId="0" applyFont="1" applyBorder="1"/>
    <xf numFmtId="0" fontId="6" fillId="0" borderId="3" xfId="0" applyFont="1" applyBorder="1"/>
    <xf numFmtId="10" fontId="6" fillId="0" borderId="3" xfId="0" applyNumberFormat="1" applyFont="1" applyBorder="1" applyAlignment="1">
      <alignment horizontal="center"/>
    </xf>
    <xf numFmtId="10" fontId="14" fillId="0" borderId="3" xfId="0" applyNumberFormat="1" applyFont="1" applyBorder="1" applyAlignment="1">
      <alignment horizontal="center"/>
    </xf>
    <xf numFmtId="43" fontId="12" fillId="0" borderId="0" xfId="2" applyFont="1"/>
    <xf numFmtId="43" fontId="5" fillId="0" borderId="0" xfId="0" applyNumberFormat="1" applyFont="1"/>
    <xf numFmtId="0" fontId="6" fillId="0" borderId="0" xfId="0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6" fillId="6" borderId="3" xfId="0" applyFont="1" applyFill="1" applyBorder="1"/>
    <xf numFmtId="0" fontId="5" fillId="0" borderId="3" xfId="0" applyFont="1" applyBorder="1"/>
    <xf numFmtId="0" fontId="2" fillId="3" borderId="0" xfId="0" applyFont="1" applyFill="1" applyAlignment="1">
      <alignment horizontal="center"/>
    </xf>
    <xf numFmtId="2" fontId="6" fillId="0" borderId="2" xfId="0" applyNumberFormat="1" applyFont="1" applyBorder="1"/>
    <xf numFmtId="2" fontId="5" fillId="0" borderId="0" xfId="0" quotePrefix="1" applyNumberFormat="1" applyFont="1"/>
    <xf numFmtId="0" fontId="5" fillId="0" borderId="5" xfId="0" applyFont="1" applyBorder="1"/>
    <xf numFmtId="0" fontId="5" fillId="0" borderId="6" xfId="0" applyFont="1" applyBorder="1"/>
    <xf numFmtId="2" fontId="5" fillId="0" borderId="6" xfId="0" applyNumberFormat="1" applyFont="1" applyBorder="1"/>
    <xf numFmtId="0" fontId="5" fillId="0" borderId="7" xfId="0" applyFont="1" applyBorder="1"/>
    <xf numFmtId="0" fontId="5" fillId="0" borderId="10" xfId="0" applyFont="1" applyBorder="1"/>
    <xf numFmtId="2" fontId="5" fillId="0" borderId="8" xfId="0" applyNumberFormat="1" applyFont="1" applyBorder="1"/>
    <xf numFmtId="0" fontId="6" fillId="0" borderId="9" xfId="0" applyFont="1" applyBorder="1"/>
    <xf numFmtId="0" fontId="6" fillId="0" borderId="10" xfId="0" applyFont="1" applyBorder="1"/>
    <xf numFmtId="2" fontId="6" fillId="0" borderId="11" xfId="0" applyNumberFormat="1" applyFont="1" applyBorder="1"/>
    <xf numFmtId="0" fontId="5" fillId="0" borderId="8" xfId="0" applyFont="1" applyBorder="1"/>
    <xf numFmtId="0" fontId="5" fillId="0" borderId="2" xfId="0" applyFont="1" applyBorder="1"/>
    <xf numFmtId="168" fontId="5" fillId="0" borderId="2" xfId="0" applyNumberFormat="1" applyFont="1" applyBorder="1"/>
    <xf numFmtId="0" fontId="6" fillId="0" borderId="5" xfId="0" applyFont="1" applyBorder="1"/>
    <xf numFmtId="10" fontId="6" fillId="0" borderId="6" xfId="0" applyNumberFormat="1" applyFont="1" applyBorder="1"/>
    <xf numFmtId="10" fontId="6" fillId="0" borderId="10" xfId="0" applyNumberFormat="1" applyFont="1" applyBorder="1"/>
    <xf numFmtId="0" fontId="5" fillId="0" borderId="9" xfId="0" applyFont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2" fontId="5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10" fontId="5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12" fillId="0" borderId="0" xfId="0" applyNumberFormat="1" applyFont="1"/>
    <xf numFmtId="167" fontId="6" fillId="0" borderId="1" xfId="0" applyNumberFormat="1" applyFont="1" applyBorder="1"/>
    <xf numFmtId="167" fontId="14" fillId="0" borderId="1" xfId="0" applyNumberFormat="1" applyFont="1" applyBorder="1"/>
    <xf numFmtId="167" fontId="6" fillId="0" borderId="2" xfId="0" applyNumberFormat="1" applyFont="1" applyBorder="1"/>
    <xf numFmtId="167" fontId="14" fillId="0" borderId="2" xfId="0" applyNumberFormat="1" applyFont="1" applyBorder="1"/>
    <xf numFmtId="168" fontId="14" fillId="0" borderId="1" xfId="0" applyNumberFormat="1" applyFont="1" applyBorder="1"/>
    <xf numFmtId="167" fontId="6" fillId="0" borderId="3" xfId="0" applyNumberFormat="1" applyFont="1" applyBorder="1"/>
    <xf numFmtId="168" fontId="14" fillId="0" borderId="3" xfId="0" applyNumberFormat="1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9" fillId="0" borderId="0" xfId="0" applyFont="1"/>
    <xf numFmtId="169" fontId="12" fillId="0" borderId="0" xfId="0" applyNumberFormat="1" applyFont="1" applyAlignment="1">
      <alignment horizontal="center"/>
    </xf>
    <xf numFmtId="2" fontId="6" fillId="0" borderId="0" xfId="0" applyNumberFormat="1" applyFont="1"/>
    <xf numFmtId="10" fontId="6" fillId="0" borderId="0" xfId="0" applyNumberFormat="1" applyFont="1"/>
    <xf numFmtId="167" fontId="14" fillId="0" borderId="2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167" fontId="14" fillId="0" borderId="6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7" fillId="8" borderId="0" xfId="0" applyFont="1" applyFill="1"/>
    <xf numFmtId="0" fontId="5" fillId="8" borderId="0" xfId="0" applyFont="1" applyFill="1"/>
    <xf numFmtId="0" fontId="2" fillId="4" borderId="0" xfId="0" applyFont="1" applyFill="1"/>
    <xf numFmtId="0" fontId="19" fillId="4" borderId="0" xfId="0" applyFont="1" applyFill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8" borderId="0" xfId="0" applyFont="1" applyFill="1"/>
    <xf numFmtId="0" fontId="3" fillId="0" borderId="2" xfId="0" applyFont="1" applyBorder="1"/>
    <xf numFmtId="10" fontId="1" fillId="0" borderId="2" xfId="0" applyNumberFormat="1" applyFont="1" applyBorder="1" applyAlignment="1">
      <alignment horizontal="center"/>
    </xf>
    <xf numFmtId="0" fontId="3" fillId="0" borderId="0" xfId="0" applyFont="1"/>
    <xf numFmtId="2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3" fillId="0" borderId="3" xfId="0" applyFont="1" applyBorder="1"/>
    <xf numFmtId="10" fontId="1" fillId="0" borderId="3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0" fontId="3" fillId="9" borderId="6" xfId="0" applyNumberFormat="1" applyFont="1" applyFill="1" applyBorder="1" applyAlignment="1">
      <alignment horizontal="center"/>
    </xf>
    <xf numFmtId="170" fontId="3" fillId="9" borderId="10" xfId="0" applyNumberFormat="1" applyFont="1" applyFill="1" applyBorder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/>
    </xf>
    <xf numFmtId="10" fontId="3" fillId="0" borderId="0" xfId="0" applyNumberFormat="1" applyFont="1" applyAlignment="1">
      <alignment horizontal="center"/>
    </xf>
    <xf numFmtId="168" fontId="6" fillId="0" borderId="0" xfId="0" applyNumberFormat="1" applyFont="1"/>
    <xf numFmtId="2" fontId="3" fillId="0" borderId="0" xfId="0" applyNumberFormat="1" applyFont="1" applyAlignment="1">
      <alignment horizontal="center"/>
    </xf>
  </cellXfs>
  <cellStyles count="5">
    <cellStyle name="Euro 2" xfId="1" xr:uid="{E96AB094-A5C6-4781-9066-AE058B0073DC}"/>
    <cellStyle name="Migliaia" xfId="2" builtinId="3"/>
    <cellStyle name="Migliaia 2" xfId="3" xr:uid="{A94E4A26-32D2-4FE7-B537-F62169A0D79F}"/>
    <cellStyle name="Migliaia 3" xfId="4" xr:uid="{B11BC9AB-DE9C-4109-89A1-3A5CB5FFEE8B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Indici di Redditività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sensitivity_analysis!$B$59</c:f>
              <c:strCache>
                <c:ptCount val="1"/>
                <c:pt idx="0">
                  <c:v>EBITDA%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sensitivity_analysis!$C$59:$H$59</c:f>
              <c:numCache>
                <c:formatCode>0.00%</c:formatCode>
                <c:ptCount val="6"/>
                <c:pt idx="0">
                  <c:v>0.20699999999999999</c:v>
                </c:pt>
                <c:pt idx="1">
                  <c:v>0.24338225090202623</c:v>
                </c:pt>
                <c:pt idx="2">
                  <c:v>0.28225997505475059</c:v>
                </c:pt>
                <c:pt idx="3">
                  <c:v>0.32116869013953264</c:v>
                </c:pt>
                <c:pt idx="4">
                  <c:v>0.30812422768259784</c:v>
                </c:pt>
                <c:pt idx="5">
                  <c:v>0.3338214779601677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4-4848-9643-66CA88FBC747}"/>
            </c:ext>
          </c:extLst>
        </c:ser>
        <c:ser>
          <c:idx val="1"/>
          <c:order val="1"/>
          <c:tx>
            <c:strRef>
              <c:f>sensitivity_analysis!$B$63</c:f>
              <c:strCache>
                <c:ptCount val="1"/>
                <c:pt idx="0">
                  <c:v>EBIT%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F5-48EE-9889-050F610D0B08}"/>
              </c:ext>
            </c:extLst>
          </c:dPt>
          <c:dLbls>
            <c:dLbl>
              <c:idx val="0"/>
              <c:layout>
                <c:manualLayout>
                  <c:x val="1.557203152784617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6-43DE-92D7-9B76735464F8}"/>
                </c:ext>
              </c:extLst>
            </c:dLbl>
            <c:dLbl>
              <c:idx val="1"/>
              <c:layout>
                <c:manualLayout>
                  <c:x val="1.55720315278461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F6-43DE-92D7-9B76735464F8}"/>
                </c:ext>
              </c:extLst>
            </c:dLbl>
            <c:dLbl>
              <c:idx val="2"/>
              <c:layout>
                <c:manualLayout>
                  <c:x val="1.751853546882689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F6-43DE-92D7-9B76735464F8}"/>
                </c:ext>
              </c:extLst>
            </c:dLbl>
            <c:dLbl>
              <c:idx val="3"/>
              <c:layout>
                <c:manualLayout>
                  <c:x val="1.946503940980767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F6-43DE-92D7-9B76735464F8}"/>
                </c:ext>
              </c:extLst>
            </c:dLbl>
            <c:dLbl>
              <c:idx val="4"/>
              <c:layout>
                <c:manualLayout>
                  <c:x val="1.7518535468826969E-2"/>
                  <c:y val="4.13156235999466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F6-43DE-92D7-9B76735464F8}"/>
                </c:ext>
              </c:extLst>
            </c:dLbl>
            <c:dLbl>
              <c:idx val="5"/>
              <c:layout>
                <c:manualLayout>
                  <c:x val="2.141154335078851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F5-48EE-9889-050F610D0B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sensitivity_analysis!$C$63:$H$63</c:f>
              <c:numCache>
                <c:formatCode>0.00%</c:formatCode>
                <c:ptCount val="6"/>
                <c:pt idx="0">
                  <c:v>0.13100000000000001</c:v>
                </c:pt>
                <c:pt idx="1">
                  <c:v>0.17087323064113255</c:v>
                </c:pt>
                <c:pt idx="2">
                  <c:v>0.2122537143817648</c:v>
                </c:pt>
                <c:pt idx="3">
                  <c:v>0.24743653995865636</c:v>
                </c:pt>
                <c:pt idx="4">
                  <c:v>0.21880659863401844</c:v>
                </c:pt>
                <c:pt idx="5">
                  <c:v>0.23455014637429486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4-4848-9643-66CA88FBC747}"/>
            </c:ext>
          </c:extLst>
        </c:ser>
        <c:ser>
          <c:idx val="2"/>
          <c:order val="2"/>
          <c:tx>
            <c:strRef>
              <c:f>sensitivity_analysis!$B$67</c:f>
              <c:strCache>
                <c:ptCount val="1"/>
                <c:pt idx="0">
                  <c:v>Net Revenues%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557203152784619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F6-43DE-92D7-9B76735464F8}"/>
                </c:ext>
              </c:extLst>
            </c:dLbl>
            <c:dLbl>
              <c:idx val="1"/>
              <c:layout>
                <c:manualLayout>
                  <c:x val="1.946503940980767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F6-43DE-92D7-9B76735464F8}"/>
                </c:ext>
              </c:extLst>
            </c:dLbl>
            <c:dLbl>
              <c:idx val="2"/>
              <c:layout>
                <c:manualLayout>
                  <c:x val="2.3358047291769293E-2"/>
                  <c:y val="-8.26312471998932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F6-43DE-92D7-9B76735464F8}"/>
                </c:ext>
              </c:extLst>
            </c:dLbl>
            <c:dLbl>
              <c:idx val="3"/>
              <c:layout>
                <c:manualLayout>
                  <c:x val="1.946503940980774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F6-43DE-92D7-9B76735464F8}"/>
                </c:ext>
              </c:extLst>
            </c:dLbl>
            <c:dLbl>
              <c:idx val="4"/>
              <c:layout>
                <c:manualLayout>
                  <c:x val="1.751853546882696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F6-43DE-92D7-9B76735464F8}"/>
                </c:ext>
              </c:extLst>
            </c:dLbl>
            <c:dLbl>
              <c:idx val="5"/>
              <c:layout>
                <c:manualLayout>
                  <c:x val="2.141154335078851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F6-43DE-92D7-9B76735464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sensitivity_analysis!$C$67:$H$67</c:f>
              <c:numCache>
                <c:formatCode>0.00%</c:formatCode>
                <c:ptCount val="6"/>
                <c:pt idx="0">
                  <c:v>7.5020000000000003E-2</c:v>
                </c:pt>
                <c:pt idx="1">
                  <c:v>9.6261969192339827E-2</c:v>
                </c:pt>
                <c:pt idx="2">
                  <c:v>0.1231015453143614</c:v>
                </c:pt>
                <c:pt idx="3">
                  <c:v>0.14222575378455371</c:v>
                </c:pt>
                <c:pt idx="4">
                  <c:v>0.12813277900513048</c:v>
                </c:pt>
                <c:pt idx="5">
                  <c:v>0.1384492839901508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24-4848-9643-66CA88FBC7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183450352"/>
        <c:axId val="1183451312"/>
      </c:barChart>
      <c:catAx>
        <c:axId val="118345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51312"/>
        <c:crosses val="autoZero"/>
        <c:auto val="1"/>
        <c:lblAlgn val="ctr"/>
        <c:lblOffset val="100"/>
        <c:noMultiLvlLbl val="0"/>
      </c:catAx>
      <c:valAx>
        <c:axId val="11834513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4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Indici sostenibilità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4428227958674E-2"/>
          <c:y val="0.11886857540563669"/>
          <c:w val="0.84526773242551834"/>
          <c:h val="0.71519930923525132"/>
        </c:manualLayout>
      </c:layout>
      <c:lineChart>
        <c:grouping val="standard"/>
        <c:varyColors val="0"/>
        <c:ser>
          <c:idx val="0"/>
          <c:order val="0"/>
          <c:tx>
            <c:strRef>
              <c:f>sensitivity_analysis!$B$83</c:f>
              <c:strCache>
                <c:ptCount val="1"/>
                <c:pt idx="0">
                  <c:v> 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5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EB-4481-B5FD-E3DFFBAD4D38}"/>
              </c:ext>
            </c:extLst>
          </c:dPt>
          <c:dLbls>
            <c:dLbl>
              <c:idx val="1"/>
              <c:layout>
                <c:manualLayout>
                  <c:x val="-4.1597717320066105E-2"/>
                  <c:y val="-5.3927351872302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EB-4481-B5FD-E3DFFBAD4D38}"/>
                </c:ext>
              </c:extLst>
            </c:dLbl>
            <c:dLbl>
              <c:idx val="2"/>
              <c:layout>
                <c:manualLayout>
                  <c:x val="-3.5836865880836712E-2"/>
                  <c:y val="5.22492547207359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EB-4481-B5FD-E3DFFBAD4D38}"/>
                </c:ext>
              </c:extLst>
            </c:dLbl>
            <c:dLbl>
              <c:idx val="3"/>
              <c:layout>
                <c:manualLayout>
                  <c:x val="-3.4160109070231412E-2"/>
                  <c:y val="-3.65612378349021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EB-4481-B5FD-E3DFFBAD4D38}"/>
                </c:ext>
              </c:extLst>
            </c:dLbl>
            <c:dLbl>
              <c:idx val="5"/>
              <c:layout>
                <c:manualLayout>
                  <c:x val="-3.4148026083940707E-2"/>
                  <c:y val="3.77460845700492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EB-4481-B5FD-E3DFFBAD4D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sensitivity_analysis!$C$83:$H$83</c:f>
              <c:numCache>
                <c:formatCode>0%</c:formatCode>
                <c:ptCount val="6"/>
                <c:pt idx="0">
                  <c:v>14.785714285714286</c:v>
                </c:pt>
                <c:pt idx="1">
                  <c:v>11.692083333333342</c:v>
                </c:pt>
                <c:pt idx="2">
                  <c:v>15.44899166666668</c:v>
                </c:pt>
                <c:pt idx="3">
                  <c:v>20.028354437500024</c:v>
                </c:pt>
                <c:pt idx="4">
                  <c:v>19.034386120312526</c:v>
                </c:pt>
                <c:pt idx="5">
                  <c:v>22.264958360507837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EB-4481-B5FD-E3DFFBAD4D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7844496"/>
        <c:axId val="1477843056"/>
      </c:lineChart>
      <c:lineChart>
        <c:grouping val="standard"/>
        <c:varyColors val="0"/>
        <c:ser>
          <c:idx val="1"/>
          <c:order val="1"/>
          <c:tx>
            <c:strRef>
              <c:f>sensitivity_analysis!$B$74</c:f>
              <c:strCache>
                <c:ptCount val="1"/>
                <c:pt idx="0">
                  <c:v>Net Debt/EBITA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4401826167448428E-2"/>
                  <c:y val="3.60589676406125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B-4481-B5FD-E3DFFBAD4D38}"/>
                </c:ext>
              </c:extLst>
            </c:dLbl>
            <c:dLbl>
              <c:idx val="2"/>
              <c:layout>
                <c:manualLayout>
                  <c:x val="-3.2544650127452716E-2"/>
                  <c:y val="-5.31538600123311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EB-4481-B5FD-E3DFFBAD4D38}"/>
                </c:ext>
              </c:extLst>
            </c:dLbl>
            <c:dLbl>
              <c:idx val="3"/>
              <c:layout>
                <c:manualLayout>
                  <c:x val="-3.0503564167179562E-2"/>
                  <c:y val="4.5566979729993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EB-4481-B5FD-E3DFFBAD4D38}"/>
                </c:ext>
              </c:extLst>
            </c:dLbl>
            <c:dLbl>
              <c:idx val="5"/>
              <c:layout>
                <c:manualLayout>
                  <c:x val="-3.2590652906338807E-2"/>
                  <c:y val="-6.60629672020420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39-47E2-9EF7-E1C72252E3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sensitivity_analysis!$C$74:$H$74</c:f>
              <c:numCache>
                <c:formatCode>0.00</c:formatCode>
                <c:ptCount val="6"/>
                <c:pt idx="0">
                  <c:v>4.8309178743961352E-2</c:v>
                </c:pt>
                <c:pt idx="1">
                  <c:v>0.80597198959409744</c:v>
                </c:pt>
                <c:pt idx="2">
                  <c:v>1.7251274328044039</c:v>
                </c:pt>
                <c:pt idx="3">
                  <c:v>1.3504171610712046</c:v>
                </c:pt>
                <c:pt idx="4">
                  <c:v>0.61804674941344462</c:v>
                </c:pt>
                <c:pt idx="5">
                  <c:v>0.25094526798172029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EB-4481-B5FD-E3DFFBAD4D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197120"/>
        <c:axId val="114199040"/>
      </c:lineChart>
      <c:catAx>
        <c:axId val="14778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3056"/>
        <c:crosses val="autoZero"/>
        <c:auto val="1"/>
        <c:lblAlgn val="ctr"/>
        <c:lblOffset val="100"/>
        <c:noMultiLvlLbl val="0"/>
      </c:catAx>
      <c:valAx>
        <c:axId val="147784305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4496"/>
        <c:crosses val="autoZero"/>
        <c:crossBetween val="between"/>
      </c:valAx>
      <c:valAx>
        <c:axId val="1141990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7120"/>
        <c:crosses val="max"/>
        <c:crossBetween val="between"/>
      </c:valAx>
      <c:catAx>
        <c:axId val="114197120"/>
        <c:scaling>
          <c:orientation val="minMax"/>
        </c:scaling>
        <c:delete val="1"/>
        <c:axPos val="b"/>
        <c:majorTickMark val="out"/>
        <c:minorTickMark val="none"/>
        <c:tickLblPos val="nextTo"/>
        <c:crossAx val="114199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191993400985001"/>
          <c:y val="0.91636245547266104"/>
          <c:w val="0.39391221355630979"/>
          <c:h val="8.0091972911724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ROIC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71597975530193E-2"/>
          <c:y val="0.13786823681018495"/>
          <c:w val="0.89003227676019192"/>
          <c:h val="0.69648238109558624"/>
        </c:manualLayout>
      </c:layout>
      <c:lineChart>
        <c:grouping val="standard"/>
        <c:varyColors val="0"/>
        <c:ser>
          <c:idx val="0"/>
          <c:order val="0"/>
          <c:tx>
            <c:strRef>
              <c:f>sensitivity_analysis!$B$110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sensitivity_analysis!$C$110:$H$110</c:f>
              <c:numCache>
                <c:formatCode>0.00%</c:formatCode>
                <c:ptCount val="6"/>
                <c:pt idx="0">
                  <c:v>0</c:v>
                </c:pt>
                <c:pt idx="1">
                  <c:v>0.15772919035914759</c:v>
                </c:pt>
                <c:pt idx="2">
                  <c:v>0.12901117665956555</c:v>
                </c:pt>
                <c:pt idx="3">
                  <c:v>0.14849528574774948</c:v>
                </c:pt>
                <c:pt idx="4">
                  <c:v>0.14457558033248472</c:v>
                </c:pt>
                <c:pt idx="5">
                  <c:v>0.19267180317925467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42-4943-9F2A-FA9B506739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7844496"/>
        <c:axId val="1477843056"/>
      </c:lineChart>
      <c:catAx>
        <c:axId val="14778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3056"/>
        <c:crosses val="autoZero"/>
        <c:auto val="1"/>
        <c:lblAlgn val="ctr"/>
        <c:lblOffset val="100"/>
        <c:noMultiLvlLbl val="0"/>
      </c:catAx>
      <c:valAx>
        <c:axId val="14778430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357726450108319"/>
          <c:y val="0.92155154097200354"/>
          <c:w val="0.1031164893909941"/>
          <c:h val="7.844863327042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Indici reddittività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4428227958674E-2"/>
          <c:y val="0.11886857540563669"/>
          <c:w val="0.89003227676019192"/>
          <c:h val="0.66401910238479023"/>
        </c:manualLayout>
      </c:layout>
      <c:lineChart>
        <c:grouping val="standard"/>
        <c:varyColors val="0"/>
        <c:ser>
          <c:idx val="0"/>
          <c:order val="0"/>
          <c:tx>
            <c:strRef>
              <c:f>sensitivity_analysis!$B$59</c:f>
              <c:strCache>
                <c:ptCount val="1"/>
                <c:pt idx="0">
                  <c:v>EBITDA%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sensitivity_analysis!$C$59:$H$59</c:f>
              <c:numCache>
                <c:formatCode>0.00%</c:formatCode>
                <c:ptCount val="6"/>
                <c:pt idx="0">
                  <c:v>0.20699999999999999</c:v>
                </c:pt>
                <c:pt idx="1">
                  <c:v>0.24338225090202623</c:v>
                </c:pt>
                <c:pt idx="2">
                  <c:v>0.28225997505475059</c:v>
                </c:pt>
                <c:pt idx="3">
                  <c:v>0.32116869013953264</c:v>
                </c:pt>
                <c:pt idx="4">
                  <c:v>0.30812422768259784</c:v>
                </c:pt>
                <c:pt idx="5">
                  <c:v>0.3338214779601677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8CB-43A6-81E7-3BFA83F203EE}"/>
            </c:ext>
          </c:extLst>
        </c:ser>
        <c:ser>
          <c:idx val="1"/>
          <c:order val="1"/>
          <c:tx>
            <c:strRef>
              <c:f>sensitivity_analysis!$B$63</c:f>
              <c:strCache>
                <c:ptCount val="1"/>
                <c:pt idx="0">
                  <c:v>EBIT%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sensitivity_analysis!$C$63:$H$63</c:f>
              <c:numCache>
                <c:formatCode>0.00%</c:formatCode>
                <c:ptCount val="6"/>
                <c:pt idx="0">
                  <c:v>0.13100000000000001</c:v>
                </c:pt>
                <c:pt idx="1">
                  <c:v>0.17087323064113255</c:v>
                </c:pt>
                <c:pt idx="2">
                  <c:v>0.2122537143817648</c:v>
                </c:pt>
                <c:pt idx="3">
                  <c:v>0.24743653995865636</c:v>
                </c:pt>
                <c:pt idx="4">
                  <c:v>0.21880659863401844</c:v>
                </c:pt>
                <c:pt idx="5">
                  <c:v>0.23455014637429486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8CB-43A6-81E7-3BFA83F203EE}"/>
            </c:ext>
          </c:extLst>
        </c:ser>
        <c:ser>
          <c:idx val="2"/>
          <c:order val="2"/>
          <c:tx>
            <c:strRef>
              <c:f>sensitivity_analysis!$B$67</c:f>
              <c:strCache>
                <c:ptCount val="1"/>
                <c:pt idx="0">
                  <c:v>Net Revenues%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sensitivity_analysis!$C$4:$H$4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sensitivity_analysis!$C$67:$H$67</c:f>
              <c:numCache>
                <c:formatCode>0.00%</c:formatCode>
                <c:ptCount val="6"/>
                <c:pt idx="0">
                  <c:v>7.5020000000000003E-2</c:v>
                </c:pt>
                <c:pt idx="1">
                  <c:v>9.6261969192339827E-2</c:v>
                </c:pt>
                <c:pt idx="2">
                  <c:v>0.1231015453143614</c:v>
                </c:pt>
                <c:pt idx="3">
                  <c:v>0.14222575378455371</c:v>
                </c:pt>
                <c:pt idx="4">
                  <c:v>0.12813277900513048</c:v>
                </c:pt>
                <c:pt idx="5">
                  <c:v>0.1384492839901508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8CB-43A6-81E7-3BFA83F203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7844496"/>
        <c:axId val="1477843056"/>
      </c:lineChart>
      <c:catAx>
        <c:axId val="14778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3056"/>
        <c:crosses val="autoZero"/>
        <c:auto val="1"/>
        <c:lblAlgn val="ctr"/>
        <c:lblOffset val="100"/>
        <c:noMultiLvlLbl val="0"/>
      </c:catAx>
      <c:valAx>
        <c:axId val="147784305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8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Debt/Ebitda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'3_statement_model'!$B$180</c:f>
              <c:strCache>
                <c:ptCount val="1"/>
                <c:pt idx="0">
                  <c:v>debt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'3_statement_model'!$C$179:$H$179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'3_statement_model'!$C$180:$H$180</c:f>
              <c:numCache>
                <c:formatCode>_-* #,##0.00\ [$€-407]_-;\-* #,##0.00\ [$€-407]_-;_-* "-"??\ [$€-407]_-;_-@_-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D-47D3-840E-E105A3E6E7B6}"/>
            </c:ext>
          </c:extLst>
        </c:ser>
        <c:ser>
          <c:idx val="1"/>
          <c:order val="1"/>
          <c:tx>
            <c:strRef>
              <c:f>'3_statement_model'!$B$181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'3_statement_model'!$C$179:$H$179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'3_statement_model'!$C$181:$H$181</c:f>
              <c:numCache>
                <c:formatCode>_-* #,##0.00\ [$€-803]_-;\-* #,##0.00\ [$€-803]_-;_-* "-"??\ [$€-803]_-;_-@_-</c:formatCode>
                <c:ptCount val="6"/>
                <c:pt idx="0">
                  <c:v>1035</c:v>
                </c:pt>
                <c:pt idx="1">
                  <c:v>1403.0500000000011</c:v>
                </c:pt>
                <c:pt idx="2">
                  <c:v>1853.8790000000017</c:v>
                </c:pt>
                <c:pt idx="3">
                  <c:v>2403.402532500003</c:v>
                </c:pt>
                <c:pt idx="4">
                  <c:v>2284.1263344375029</c:v>
                </c:pt>
                <c:pt idx="5">
                  <c:v>2671.7950032609406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D-47D3-840E-E105A3E6E7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5262864"/>
        <c:axId val="875271024"/>
      </c:barChart>
      <c:lineChart>
        <c:grouping val="standard"/>
        <c:varyColors val="0"/>
        <c:ser>
          <c:idx val="2"/>
          <c:order val="2"/>
          <c:tx>
            <c:strRef>
              <c:f>'3_statement_model'!$B$182</c:f>
              <c:strCache>
                <c:ptCount val="1"/>
                <c:pt idx="0">
                  <c:v>debt/ebitda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1.0347193140544213E-2"/>
                  <c:y val="-5.2753476299803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47-4A38-BA77-560AD01CF6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'3_statement_model'!$C$179:$H$179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'3_statement_model'!$C$182:$H$182</c:f>
              <c:numCache>
                <c:formatCode>0.00%</c:formatCode>
                <c:ptCount val="6"/>
                <c:pt idx="0">
                  <c:v>0.19323671497584541</c:v>
                </c:pt>
                <c:pt idx="1">
                  <c:v>0.14254659491821378</c:v>
                </c:pt>
                <c:pt idx="2">
                  <c:v>0.10788190599278584</c:v>
                </c:pt>
                <c:pt idx="3">
                  <c:v>8.3215357101234871E-2</c:v>
                </c:pt>
                <c:pt idx="4">
                  <c:v>8.7560831020869395E-2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63D-47D3-840E-E105A3E6E7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5273904"/>
        <c:axId val="875270064"/>
      </c:lineChart>
      <c:catAx>
        <c:axId val="87526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71024"/>
        <c:crosses val="autoZero"/>
        <c:auto val="1"/>
        <c:lblAlgn val="ctr"/>
        <c:lblOffset val="100"/>
        <c:noMultiLvlLbl val="0"/>
      </c:catAx>
      <c:valAx>
        <c:axId val="87527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_-* #,##0.00\ [$€-407]_-;\-* #,##0.00\ [$€-407]_-;_-* &quot;-&quot;??\ [$€-407]_-;_-@_-" sourceLinked="1"/>
        <c:majorTickMark val="none"/>
        <c:minorTickMark val="none"/>
        <c:tickLblPos val="nextTo"/>
        <c:spPr>
          <a:noFill/>
          <a:ln w="15875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62864"/>
        <c:crosses val="autoZero"/>
        <c:crossBetween val="between"/>
      </c:valAx>
      <c:valAx>
        <c:axId val="8752700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 w="15875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273904"/>
        <c:crosses val="max"/>
        <c:crossBetween val="between"/>
      </c:valAx>
      <c:catAx>
        <c:axId val="875273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527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Logica Contabile e Logica Finanziaria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'3_statement_model'!$B$200</c:f>
              <c:strCache>
                <c:ptCount val="1"/>
                <c:pt idx="0">
                  <c:v>Cash Flow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  <a:headEnd type="oval"/>
              <a:tailEnd type="none"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A-2AE9-493B-B496-FE9AEDDEF4E5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2">
                    <a:lumMod val="5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C-2AE9-493B-B496-FE9AEDDEF4E5}"/>
              </c:ext>
            </c:extLst>
          </c:dPt>
          <c:dLbls>
            <c:dLbl>
              <c:idx val="0"/>
              <c:layout>
                <c:manualLayout>
                  <c:x val="-5.2113077795186924E-2"/>
                  <c:y val="-9.56561266221982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AE9-493B-B496-FE9AEDDEF4E5}"/>
                </c:ext>
              </c:extLst>
            </c:dLbl>
            <c:dLbl>
              <c:idx val="2"/>
              <c:layout>
                <c:manualLayout>
                  <c:x val="-5.2151637951887458E-2"/>
                  <c:y val="3.5139773657512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E9-493B-B496-FE9AEDDEF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'3_statement_model'!$C$4:$H$4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'3_statement_model'!$C$200:$H$200</c:f>
              <c:numCache>
                <c:formatCode>_-* #,##0.00\ [$€-407]_-;\-* #,##0.00\ [$€-407]_-;_-* "-"??\ [$€-407]_-;_-@_-</c:formatCode>
                <c:ptCount val="6"/>
                <c:pt idx="0">
                  <c:v>0</c:v>
                </c:pt>
                <c:pt idx="1">
                  <c:v>-1180.8189999999993</c:v>
                </c:pt>
                <c:pt idx="2">
                  <c:v>-2067.3585199999989</c:v>
                </c:pt>
                <c:pt idx="3">
                  <c:v>-47.418504849998953</c:v>
                </c:pt>
                <c:pt idx="4">
                  <c:v>1833.8991686012521</c:v>
                </c:pt>
                <c:pt idx="5">
                  <c:v>1882.1711693342831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E9-493B-B496-FE9AEDDEF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11008"/>
        <c:axId val="201121088"/>
      </c:lineChart>
      <c:lineChart>
        <c:grouping val="standard"/>
        <c:varyColors val="0"/>
        <c:ser>
          <c:idx val="2"/>
          <c:order val="1"/>
          <c:tx>
            <c:strRef>
              <c:f>'3_statement_model'!$B$201</c:f>
              <c:strCache>
                <c:ptCount val="1"/>
                <c:pt idx="0">
                  <c:v>Net Revenues %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'3_statement_model'!$C$4:$H$4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'3_statement_model'!$C$201:$H$201</c:f>
              <c:numCache>
                <c:formatCode>0.00%</c:formatCode>
                <c:ptCount val="6"/>
                <c:pt idx="0">
                  <c:v>7.4130434782608695E-2</c:v>
                </c:pt>
                <c:pt idx="1">
                  <c:v>9.6261969192339827E-2</c:v>
                </c:pt>
                <c:pt idx="2">
                  <c:v>0.1231015453143614</c:v>
                </c:pt>
                <c:pt idx="3">
                  <c:v>0.14222575378455371</c:v>
                </c:pt>
                <c:pt idx="4">
                  <c:v>0.12813277900513048</c:v>
                </c:pt>
                <c:pt idx="5">
                  <c:v>0.1384492839901508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E9-493B-B496-FE9AEDDEF4E5}"/>
            </c:ext>
          </c:extLst>
        </c:ser>
        <c:ser>
          <c:idx val="3"/>
          <c:order val="2"/>
          <c:tx>
            <c:strRef>
              <c:f>'3_statement_model'!$B$202</c:f>
              <c:strCache>
                <c:ptCount val="1"/>
                <c:pt idx="0">
                  <c:v>Ebitda/Total Revenues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487635331998257E-2"/>
                  <c:y val="-5.155000940640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AE9-493B-B496-FE9AEDDEF4E5}"/>
                </c:ext>
              </c:extLst>
            </c:dLbl>
            <c:dLbl>
              <c:idx val="4"/>
              <c:layout>
                <c:manualLayout>
                  <c:x val="-3.2963468869684362E-2"/>
                  <c:y val="5.2104005295521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E9-493B-B496-FE9AEDDEF4E5}"/>
                </c:ext>
              </c:extLst>
            </c:dLbl>
            <c:dLbl>
              <c:idx val="5"/>
              <c:layout>
                <c:manualLayout>
                  <c:x val="-3.4694465508291E-2"/>
                  <c:y val="3.1009317593368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E9-493B-B496-FE9AEDDEF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'3_statement_model'!$C$4:$H$4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'3_statement_model'!$C$202:$H$202</c:f>
              <c:numCache>
                <c:formatCode>0.00%</c:formatCode>
                <c:ptCount val="6"/>
                <c:pt idx="0">
                  <c:v>0.20454545454545456</c:v>
                </c:pt>
                <c:pt idx="1">
                  <c:v>0.24338225090202623</c:v>
                </c:pt>
                <c:pt idx="2">
                  <c:v>0.28225997505475059</c:v>
                </c:pt>
                <c:pt idx="3">
                  <c:v>0.32116869013953264</c:v>
                </c:pt>
                <c:pt idx="4">
                  <c:v>0.30812422768259784</c:v>
                </c:pt>
                <c:pt idx="5">
                  <c:v>0.3338214779601677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E9-493B-B496-FE9AEDDEF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725488"/>
        <c:axId val="443717328"/>
      </c:lineChart>
      <c:catAx>
        <c:axId val="20111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1088"/>
        <c:crosses val="autoZero"/>
        <c:auto val="1"/>
        <c:lblAlgn val="ctr"/>
        <c:lblOffset val="100"/>
        <c:noMultiLvlLbl val="0"/>
      </c:catAx>
      <c:valAx>
        <c:axId val="20112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_-* #,##0.00\ [$€-407]_-;\-* #,##0.00\ [$€-407]_-;_-* &quot;-&quot;??\ [$€-407]_-;_-@_-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1008"/>
        <c:crosses val="autoZero"/>
        <c:crossBetween val="between"/>
      </c:valAx>
      <c:valAx>
        <c:axId val="4437173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725488"/>
        <c:crosses val="max"/>
        <c:crossBetween val="between"/>
      </c:valAx>
      <c:catAx>
        <c:axId val="44372548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43717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80818</xdr:colOff>
      <xdr:row>1</xdr:row>
      <xdr:rowOff>34637</xdr:rowOff>
    </xdr:from>
    <xdr:to>
      <xdr:col>2</xdr:col>
      <xdr:colOff>1708727</xdr:colOff>
      <xdr:row>12</xdr:row>
      <xdr:rowOff>3790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9DE1E4-5D29-4923-8741-E8FDA86F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18" y="219364"/>
          <a:ext cx="3255818" cy="2001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41902</xdr:colOff>
      <xdr:row>19</xdr:row>
      <xdr:rowOff>120141</xdr:rowOff>
    </xdr:from>
    <xdr:to>
      <xdr:col>6</xdr:col>
      <xdr:colOff>240114</xdr:colOff>
      <xdr:row>35</xdr:row>
      <xdr:rowOff>56654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B423E50-08D0-59DB-1617-25B7A178A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415289</xdr:colOff>
      <xdr:row>19</xdr:row>
      <xdr:rowOff>63062</xdr:rowOff>
    </xdr:from>
    <xdr:to>
      <xdr:col>17</xdr:col>
      <xdr:colOff>410406</xdr:colOff>
      <xdr:row>35</xdr:row>
      <xdr:rowOff>95079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BAAA838-5547-7538-8ED3-23CF953BA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41515</xdr:colOff>
      <xdr:row>35</xdr:row>
      <xdr:rowOff>168574</xdr:rowOff>
    </xdr:from>
    <xdr:to>
      <xdr:col>6</xdr:col>
      <xdr:colOff>276471</xdr:colOff>
      <xdr:row>51</xdr:row>
      <xdr:rowOff>132626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429BE80-4B96-46BC-836F-0E687E7A2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480289</xdr:colOff>
      <xdr:row>36</xdr:row>
      <xdr:rowOff>3223</xdr:rowOff>
    </xdr:from>
    <xdr:to>
      <xdr:col>17</xdr:col>
      <xdr:colOff>428862</xdr:colOff>
      <xdr:row>51</xdr:row>
      <xdr:rowOff>176124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A297487-07C6-43E0-8BF0-87CA2D330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178</xdr:row>
      <xdr:rowOff>0</xdr:rowOff>
    </xdr:from>
    <xdr:to>
      <xdr:col>8</xdr:col>
      <xdr:colOff>80494</xdr:colOff>
      <xdr:row>196</xdr:row>
      <xdr:rowOff>143099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13D2F74-EFB9-40E6-84ED-7005AF776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127006</xdr:colOff>
      <xdr:row>197</xdr:row>
      <xdr:rowOff>115047</xdr:rowOff>
    </xdr:from>
    <xdr:to>
      <xdr:col>8</xdr:col>
      <xdr:colOff>82175</xdr:colOff>
      <xdr:row>215</xdr:row>
      <xdr:rowOff>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729E1AE-046C-B541-4A03-FEDB9B96F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F9E1-4009-4EBA-A567-DA84BDA47164}">
  <sheetPr>
    <tabColor theme="7" tint="0.59999389629810485"/>
  </sheetPr>
  <dimension ref="B12:C23"/>
  <sheetViews>
    <sheetView showGridLines="0" topLeftCell="A4" zoomScale="55" zoomScaleNormal="55" workbookViewId="0"/>
  </sheetViews>
  <sheetFormatPr defaultRowHeight="14.5" x14ac:dyDescent="0.35"/>
  <cols>
    <col min="1" max="1" width="4.7265625" customWidth="1"/>
    <col min="2" max="2" width="18.453125" customWidth="1"/>
    <col min="3" max="3" width="61.36328125" bestFit="1" customWidth="1"/>
  </cols>
  <sheetData>
    <row r="12" customFormat="1" x14ac:dyDescent="0.35"/>
    <row r="13" customFormat="1" x14ac:dyDescent="0.35"/>
    <row r="14" customFormat="1" x14ac:dyDescent="0.35"/>
    <row r="15" customFormat="1" x14ac:dyDescent="0.35"/>
    <row r="16" customFormat="1" x14ac:dyDescent="0.35"/>
    <row r="19" spans="2:3" ht="27.5" x14ac:dyDescent="0.55000000000000004">
      <c r="B19" s="121" t="s">
        <v>173</v>
      </c>
      <c r="C19" s="122" t="s">
        <v>174</v>
      </c>
    </row>
    <row r="20" spans="2:3" ht="27.5" x14ac:dyDescent="0.55000000000000004">
      <c r="B20" s="121" t="s">
        <v>175</v>
      </c>
      <c r="C20" s="122">
        <v>34226</v>
      </c>
    </row>
    <row r="21" spans="2:3" ht="27.5" x14ac:dyDescent="0.55000000000000004">
      <c r="B21" s="121" t="s">
        <v>176</v>
      </c>
      <c r="C21" s="122" t="s">
        <v>177</v>
      </c>
    </row>
    <row r="22" spans="2:3" ht="27.5" x14ac:dyDescent="0.55000000000000004">
      <c r="B22" s="121" t="s">
        <v>178</v>
      </c>
      <c r="C22" s="122" t="s">
        <v>179</v>
      </c>
    </row>
    <row r="23" spans="2:3" ht="27.5" x14ac:dyDescent="0.55000000000000004">
      <c r="B23" s="121" t="s">
        <v>180</v>
      </c>
      <c r="C23" s="122" t="s">
        <v>181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7C3B-556B-4928-B282-9F39C941CE73}">
  <sheetPr>
    <tabColor theme="8" tint="-0.249977111117893"/>
  </sheetPr>
  <dimension ref="A1:H112"/>
  <sheetViews>
    <sheetView showGridLines="0" tabSelected="1" zoomScale="56" zoomScaleNormal="197" workbookViewId="0">
      <selection activeCell="T35" sqref="T35"/>
    </sheetView>
  </sheetViews>
  <sheetFormatPr defaultRowHeight="15.5" outlineLevelRow="1" x14ac:dyDescent="0.35"/>
  <cols>
    <col min="1" max="1" width="2" style="1" bestFit="1" customWidth="1"/>
    <col min="2" max="2" width="44.81640625" style="1" bestFit="1" customWidth="1"/>
    <col min="3" max="3" width="15.26953125" style="2" bestFit="1" customWidth="1"/>
    <col min="4" max="4" width="13.26953125" style="2" bestFit="1" customWidth="1"/>
    <col min="5" max="5" width="10.08984375" style="2" bestFit="1" customWidth="1"/>
    <col min="6" max="6" width="14.54296875" style="2" bestFit="1" customWidth="1"/>
    <col min="7" max="7" width="8.453125" style="2" bestFit="1" customWidth="1"/>
    <col min="8" max="8" width="13.81640625" style="2" bestFit="1" customWidth="1"/>
    <col min="9" max="9" width="8.7265625" style="1" customWidth="1"/>
    <col min="10" max="16383" width="8.7265625" style="1"/>
    <col min="16384" max="16384" width="13.26953125" style="1" bestFit="1" customWidth="1"/>
  </cols>
  <sheetData>
    <row r="1" spans="1:8" ht="5" customHeight="1" x14ac:dyDescent="0.35"/>
    <row r="2" spans="1:8" ht="7" customHeight="1" x14ac:dyDescent="0.35">
      <c r="B2" s="3"/>
      <c r="C2" s="33"/>
      <c r="D2" s="5"/>
      <c r="E2" s="5"/>
      <c r="F2" s="5"/>
      <c r="G2" s="5"/>
      <c r="H2" s="5"/>
    </row>
    <row r="3" spans="1:8" ht="11.5" customHeight="1" x14ac:dyDescent="0.35">
      <c r="B3" s="3" t="s">
        <v>134</v>
      </c>
      <c r="C3" s="33" t="s">
        <v>137</v>
      </c>
      <c r="D3" s="5"/>
      <c r="E3" s="5"/>
      <c r="F3" s="5" t="s">
        <v>138</v>
      </c>
      <c r="G3" s="5"/>
      <c r="H3" s="5"/>
    </row>
    <row r="4" spans="1:8" x14ac:dyDescent="0.35">
      <c r="A4" s="1" t="s">
        <v>15</v>
      </c>
      <c r="B4" s="3" t="s">
        <v>1</v>
      </c>
      <c r="C4" s="33">
        <v>2020</v>
      </c>
      <c r="D4" s="5">
        <f>+C4+1</f>
        <v>2021</v>
      </c>
      <c r="E4" s="5">
        <f t="shared" ref="E4:H4" si="0">+D4+1</f>
        <v>2022</v>
      </c>
      <c r="F4" s="5">
        <f t="shared" si="0"/>
        <v>2023</v>
      </c>
      <c r="G4" s="5">
        <f t="shared" si="0"/>
        <v>2024</v>
      </c>
      <c r="H4" s="5">
        <f t="shared" si="0"/>
        <v>2025</v>
      </c>
    </row>
    <row r="5" spans="1:8" ht="7.5" customHeight="1" x14ac:dyDescent="0.35"/>
    <row r="6" spans="1:8" x14ac:dyDescent="0.35">
      <c r="A6" s="1" t="s">
        <v>15</v>
      </c>
      <c r="B6" s="98" t="s">
        <v>160</v>
      </c>
      <c r="C6" s="99"/>
      <c r="D6" s="99"/>
      <c r="E6" s="99"/>
      <c r="F6" s="99"/>
      <c r="G6" s="99"/>
      <c r="H6" s="99"/>
    </row>
    <row r="7" spans="1:8" outlineLevel="1" x14ac:dyDescent="0.35">
      <c r="B7" s="1" t="s">
        <v>161</v>
      </c>
    </row>
    <row r="8" spans="1:8" outlineLevel="1" x14ac:dyDescent="0.35">
      <c r="B8" s="100" t="s">
        <v>130</v>
      </c>
      <c r="C8" s="101" t="s">
        <v>119</v>
      </c>
      <c r="D8" s="119">
        <f>+EV_EqV!F15</f>
        <v>16300.189036288819</v>
      </c>
      <c r="F8" s="102" t="s">
        <v>135</v>
      </c>
      <c r="G8" s="2">
        <v>1</v>
      </c>
      <c r="H8" s="2" t="s">
        <v>131</v>
      </c>
    </row>
    <row r="9" spans="1:8" outlineLevel="1" x14ac:dyDescent="0.35">
      <c r="B9" s="103">
        <v>1</v>
      </c>
      <c r="C9" s="104" t="s">
        <v>125</v>
      </c>
      <c r="D9" s="120">
        <f>+EV_EqV!F20</f>
        <v>16350.189036288819</v>
      </c>
      <c r="G9" s="2">
        <v>2</v>
      </c>
      <c r="H9" s="2" t="s">
        <v>132</v>
      </c>
    </row>
    <row r="10" spans="1:8" outlineLevel="1" x14ac:dyDescent="0.35">
      <c r="G10" s="105">
        <v>3</v>
      </c>
      <c r="H10" s="105" t="s">
        <v>133</v>
      </c>
    </row>
    <row r="11" spans="1:8" outlineLevel="1" x14ac:dyDescent="0.35">
      <c r="B11" s="106" t="s">
        <v>150</v>
      </c>
    </row>
    <row r="12" spans="1:8" outlineLevel="1" x14ac:dyDescent="0.35">
      <c r="B12" s="107" t="s">
        <v>158</v>
      </c>
      <c r="C12" s="108">
        <f>+C59</f>
        <v>0.20699999999999999</v>
      </c>
      <c r="D12" s="108">
        <f t="shared" ref="D12:H12" si="1">+D59</f>
        <v>0.24338225090202623</v>
      </c>
      <c r="E12" s="108">
        <f t="shared" si="1"/>
        <v>0.28225997505475059</v>
      </c>
      <c r="F12" s="108">
        <f t="shared" si="1"/>
        <v>0.32116869013953264</v>
      </c>
      <c r="G12" s="108">
        <f t="shared" si="1"/>
        <v>0.30812422768259784</v>
      </c>
      <c r="H12" s="108">
        <f t="shared" si="1"/>
        <v>0.3338214779601677</v>
      </c>
    </row>
    <row r="13" spans="1:8" outlineLevel="1" x14ac:dyDescent="0.35">
      <c r="B13" s="109" t="s">
        <v>157</v>
      </c>
      <c r="C13" s="110">
        <f>+C74</f>
        <v>4.8309178743961352E-2</v>
      </c>
      <c r="D13" s="110">
        <f t="shared" ref="D13:H13" si="2">+D74</f>
        <v>0.80597198959409744</v>
      </c>
      <c r="E13" s="110">
        <f t="shared" si="2"/>
        <v>1.7251274328044039</v>
      </c>
      <c r="F13" s="110">
        <f t="shared" si="2"/>
        <v>1.3504171610712046</v>
      </c>
      <c r="G13" s="110">
        <f t="shared" si="2"/>
        <v>0.61804674941344462</v>
      </c>
      <c r="H13" s="110">
        <f t="shared" si="2"/>
        <v>0.25094526798172029</v>
      </c>
    </row>
    <row r="14" spans="1:8" outlineLevel="1" x14ac:dyDescent="0.35">
      <c r="B14" s="109" t="s">
        <v>156</v>
      </c>
      <c r="C14" s="111">
        <f>+C89</f>
        <v>0</v>
      </c>
      <c r="D14" s="111">
        <f t="shared" ref="D14:H14" si="3">+D89</f>
        <v>-0.77746267061045471</v>
      </c>
      <c r="E14" s="111">
        <f t="shared" si="3"/>
        <v>-1.0666060298433699</v>
      </c>
      <c r="F14" s="111">
        <f t="shared" si="3"/>
        <v>3.6440626971837038E-2</v>
      </c>
      <c r="G14" s="111">
        <f t="shared" si="3"/>
        <v>0.8422910500154267</v>
      </c>
      <c r="H14" s="111">
        <f t="shared" si="3"/>
        <v>0.81300068556275318</v>
      </c>
    </row>
    <row r="15" spans="1:8" outlineLevel="1" x14ac:dyDescent="0.35">
      <c r="B15" s="109" t="s">
        <v>170</v>
      </c>
      <c r="C15" s="110">
        <f>+C106</f>
        <v>0</v>
      </c>
      <c r="D15" s="110">
        <f t="shared" ref="D15:H15" si="4">+D106</f>
        <v>0</v>
      </c>
      <c r="E15" s="110">
        <f t="shared" si="4"/>
        <v>0</v>
      </c>
      <c r="F15" s="110">
        <f t="shared" si="4"/>
        <v>0</v>
      </c>
      <c r="G15" s="110">
        <f t="shared" si="4"/>
        <v>0</v>
      </c>
      <c r="H15" s="110">
        <f t="shared" si="4"/>
        <v>15.748974914288715</v>
      </c>
    </row>
    <row r="16" spans="1:8" outlineLevel="1" x14ac:dyDescent="0.35">
      <c r="B16" s="112" t="s">
        <v>149</v>
      </c>
      <c r="C16" s="113">
        <f>+C110</f>
        <v>0</v>
      </c>
      <c r="D16" s="113">
        <f t="shared" ref="D16:H16" si="5">+D110</f>
        <v>0.15772919035914759</v>
      </c>
      <c r="E16" s="113">
        <f t="shared" si="5"/>
        <v>0.12901117665956555</v>
      </c>
      <c r="F16" s="113">
        <f t="shared" si="5"/>
        <v>0.14849528574774948</v>
      </c>
      <c r="G16" s="113">
        <f t="shared" si="5"/>
        <v>0.14457558033248472</v>
      </c>
      <c r="H16" s="113">
        <f t="shared" si="5"/>
        <v>0.19267180317925467</v>
      </c>
    </row>
    <row r="17" spans="1:8" ht="9" customHeight="1" outlineLevel="1" x14ac:dyDescent="0.35"/>
    <row r="18" spans="1:8" ht="6" customHeight="1" x14ac:dyDescent="0.35"/>
    <row r="19" spans="1:8" x14ac:dyDescent="0.35">
      <c r="A19" s="1" t="s">
        <v>15</v>
      </c>
      <c r="B19" s="98" t="s">
        <v>87</v>
      </c>
      <c r="C19" s="99"/>
      <c r="D19" s="99"/>
      <c r="E19" s="99"/>
      <c r="F19" s="99"/>
      <c r="G19" s="99"/>
      <c r="H19" s="99"/>
    </row>
    <row r="20" spans="1:8" outlineLevel="1" x14ac:dyDescent="0.35"/>
    <row r="21" spans="1:8" outlineLevel="1" x14ac:dyDescent="0.35"/>
    <row r="22" spans="1:8" outlineLevel="1" x14ac:dyDescent="0.35"/>
    <row r="23" spans="1:8" outlineLevel="1" x14ac:dyDescent="0.35"/>
    <row r="24" spans="1:8" outlineLevel="1" x14ac:dyDescent="0.35"/>
    <row r="25" spans="1:8" outlineLevel="1" x14ac:dyDescent="0.35"/>
    <row r="26" spans="1:8" outlineLevel="1" x14ac:dyDescent="0.35"/>
    <row r="27" spans="1:8" outlineLevel="1" x14ac:dyDescent="0.35"/>
    <row r="28" spans="1:8" outlineLevel="1" x14ac:dyDescent="0.35"/>
    <row r="29" spans="1:8" outlineLevel="1" x14ac:dyDescent="0.35"/>
    <row r="30" spans="1:8" outlineLevel="1" x14ac:dyDescent="0.35"/>
    <row r="31" spans="1:8" outlineLevel="1" x14ac:dyDescent="0.35"/>
    <row r="32" spans="1:8" outlineLevel="1" x14ac:dyDescent="0.35"/>
    <row r="33" outlineLevel="1" x14ac:dyDescent="0.35"/>
    <row r="34" outlineLevel="1" x14ac:dyDescent="0.35"/>
    <row r="35" outlineLevel="1" x14ac:dyDescent="0.35"/>
    <row r="36" outlineLevel="1" x14ac:dyDescent="0.35"/>
    <row r="37" outlineLevel="1" x14ac:dyDescent="0.35"/>
    <row r="38" outlineLevel="1" x14ac:dyDescent="0.35"/>
    <row r="39" outlineLevel="1" x14ac:dyDescent="0.35"/>
    <row r="40" outlineLevel="1" x14ac:dyDescent="0.35"/>
    <row r="41" outlineLevel="1" x14ac:dyDescent="0.35"/>
    <row r="42" outlineLevel="1" x14ac:dyDescent="0.35"/>
    <row r="43" outlineLevel="1" x14ac:dyDescent="0.35"/>
    <row r="44" outlineLevel="1" x14ac:dyDescent="0.35"/>
    <row r="45" outlineLevel="1" x14ac:dyDescent="0.35"/>
    <row r="46" outlineLevel="1" x14ac:dyDescent="0.35"/>
    <row r="47" outlineLevel="1" x14ac:dyDescent="0.35"/>
    <row r="48" outlineLevel="1" x14ac:dyDescent="0.35"/>
    <row r="49" spans="1:8" outlineLevel="1" x14ac:dyDescent="0.35"/>
    <row r="50" spans="1:8" outlineLevel="1" x14ac:dyDescent="0.35"/>
    <row r="51" spans="1:8" outlineLevel="1" x14ac:dyDescent="0.35"/>
    <row r="52" spans="1:8" outlineLevel="1" x14ac:dyDescent="0.35"/>
    <row r="53" spans="1:8" outlineLevel="1" x14ac:dyDescent="0.35"/>
    <row r="55" spans="1:8" x14ac:dyDescent="0.35">
      <c r="A55" s="1" t="s">
        <v>15</v>
      </c>
      <c r="B55" s="98" t="s">
        <v>136</v>
      </c>
      <c r="C55" s="99"/>
      <c r="D55" s="99"/>
      <c r="E55" s="99"/>
      <c r="F55" s="99"/>
      <c r="G55" s="99"/>
      <c r="H55" s="99"/>
    </row>
    <row r="56" spans="1:8" outlineLevel="1" x14ac:dyDescent="0.35"/>
    <row r="57" spans="1:8" outlineLevel="1" x14ac:dyDescent="0.35">
      <c r="B57" s="1" t="s">
        <v>155</v>
      </c>
      <c r="C57" s="110">
        <f>+'3_statement_model'!C71</f>
        <v>5000</v>
      </c>
      <c r="D57" s="110">
        <f>+'3_statement_model'!D73</f>
        <v>5764.8000000000011</v>
      </c>
      <c r="E57" s="110">
        <f>+'3_statement_model'!E73</f>
        <v>6567.9840000000022</v>
      </c>
      <c r="F57" s="110">
        <f>+'3_statement_model'!F73</f>
        <v>7483.3027200000033</v>
      </c>
      <c r="G57" s="110">
        <f>+'3_statement_model'!G73</f>
        <v>7413.0046560000037</v>
      </c>
      <c r="H57" s="110">
        <f>+'3_statement_model'!H73</f>
        <v>8003.6641728000041</v>
      </c>
    </row>
    <row r="58" spans="1:8" outlineLevel="1" x14ac:dyDescent="0.35">
      <c r="B58" s="1" t="s">
        <v>21</v>
      </c>
      <c r="C58" s="110">
        <f>+'3_statement_model'!C82</f>
        <v>1035</v>
      </c>
      <c r="D58" s="110">
        <f>+'3_statement_model'!D82</f>
        <v>1403.0500000000011</v>
      </c>
      <c r="E58" s="110">
        <f>+'3_statement_model'!E82</f>
        <v>1853.8790000000017</v>
      </c>
      <c r="F58" s="110">
        <f>+'3_statement_model'!F82</f>
        <v>2403.402532500003</v>
      </c>
      <c r="G58" s="110">
        <f>+'3_statement_model'!G82</f>
        <v>2284.1263344375029</v>
      </c>
      <c r="H58" s="110">
        <f>+'3_statement_model'!H82</f>
        <v>2671.7950032609406</v>
      </c>
    </row>
    <row r="59" spans="1:8" outlineLevel="1" x14ac:dyDescent="0.35">
      <c r="B59" s="107" t="s">
        <v>93</v>
      </c>
      <c r="C59" s="114">
        <f>+C58/C57</f>
        <v>0.20699999999999999</v>
      </c>
      <c r="D59" s="114">
        <f t="shared" ref="D59:H59" si="6">+D58/D57</f>
        <v>0.24338225090202623</v>
      </c>
      <c r="E59" s="114">
        <f t="shared" si="6"/>
        <v>0.28225997505475059</v>
      </c>
      <c r="F59" s="114">
        <f t="shared" si="6"/>
        <v>0.32116869013953264</v>
      </c>
      <c r="G59" s="114">
        <f t="shared" si="6"/>
        <v>0.30812422768259784</v>
      </c>
      <c r="H59" s="114">
        <f t="shared" si="6"/>
        <v>0.3338214779601677</v>
      </c>
    </row>
    <row r="60" spans="1:8" outlineLevel="1" x14ac:dyDescent="0.35"/>
    <row r="61" spans="1:8" outlineLevel="1" x14ac:dyDescent="0.35">
      <c r="B61" s="1" t="s">
        <v>155</v>
      </c>
      <c r="C61" s="110">
        <f>+C57</f>
        <v>5000</v>
      </c>
      <c r="D61" s="110">
        <f>+'3_statement_model'!D73</f>
        <v>5764.8000000000011</v>
      </c>
      <c r="E61" s="110">
        <f>+'3_statement_model'!E73</f>
        <v>6567.9840000000022</v>
      </c>
      <c r="F61" s="110">
        <f>+'3_statement_model'!F73</f>
        <v>7483.3027200000033</v>
      </c>
      <c r="G61" s="110">
        <f>+'3_statement_model'!G73</f>
        <v>7413.0046560000037</v>
      </c>
      <c r="H61" s="110">
        <f>+'3_statement_model'!H73</f>
        <v>8003.6641728000041</v>
      </c>
    </row>
    <row r="62" spans="1:8" outlineLevel="1" x14ac:dyDescent="0.35">
      <c r="B62" s="1" t="s">
        <v>22</v>
      </c>
      <c r="C62" s="110">
        <f>+'3_statement_model'!C88</f>
        <v>655</v>
      </c>
      <c r="D62" s="110">
        <f>+'3_statement_model'!D88</f>
        <v>985.05000000000109</v>
      </c>
      <c r="E62" s="110">
        <f>+'3_statement_model'!E88</f>
        <v>1394.0790000000015</v>
      </c>
      <c r="F62" s="110">
        <f>+'3_statement_model'!F88</f>
        <v>1851.6425325000027</v>
      </c>
      <c r="G62" s="110">
        <f>+'3_statement_model'!G88</f>
        <v>1622.0143344375028</v>
      </c>
      <c r="H62" s="110">
        <f>+'3_statement_model'!H88</f>
        <v>1877.2606032609406</v>
      </c>
    </row>
    <row r="63" spans="1:8" outlineLevel="1" x14ac:dyDescent="0.35">
      <c r="B63" s="107" t="s">
        <v>92</v>
      </c>
      <c r="C63" s="114">
        <f>+C62/C61</f>
        <v>0.13100000000000001</v>
      </c>
      <c r="D63" s="114">
        <f t="shared" ref="D63:H63" si="7">+D62/D61</f>
        <v>0.17087323064113255</v>
      </c>
      <c r="E63" s="114">
        <f t="shared" si="7"/>
        <v>0.2122537143817648</v>
      </c>
      <c r="F63" s="114">
        <f t="shared" si="7"/>
        <v>0.24743653995865636</v>
      </c>
      <c r="G63" s="114">
        <f t="shared" si="7"/>
        <v>0.21880659863401844</v>
      </c>
      <c r="H63" s="114">
        <f t="shared" si="7"/>
        <v>0.23455014637429486</v>
      </c>
    </row>
    <row r="64" spans="1:8" outlineLevel="1" x14ac:dyDescent="0.35"/>
    <row r="65" spans="1:8" outlineLevel="1" x14ac:dyDescent="0.35">
      <c r="B65" s="1" t="s">
        <v>155</v>
      </c>
      <c r="C65" s="110">
        <f>+C57</f>
        <v>5000</v>
      </c>
      <c r="D65" s="110">
        <f>+'3_statement_model'!D73</f>
        <v>5764.8000000000011</v>
      </c>
      <c r="E65" s="110">
        <f>+'3_statement_model'!E73</f>
        <v>6567.9840000000022</v>
      </c>
      <c r="F65" s="110">
        <f>+'3_statement_model'!F73</f>
        <v>7483.3027200000033</v>
      </c>
      <c r="G65" s="110">
        <f>+'3_statement_model'!G73</f>
        <v>7413.0046560000037</v>
      </c>
      <c r="H65" s="110">
        <f>+'3_statement_model'!H73</f>
        <v>8003.6641728000041</v>
      </c>
    </row>
    <row r="66" spans="1:8" outlineLevel="1" x14ac:dyDescent="0.35">
      <c r="B66" s="1" t="s">
        <v>19</v>
      </c>
      <c r="C66" s="110">
        <f>+'3_statement_model'!C97</f>
        <v>375.1</v>
      </c>
      <c r="D66" s="110">
        <f>+'3_statement_model'!D97</f>
        <v>554.93100000000072</v>
      </c>
      <c r="E66" s="110">
        <f>+'3_statement_model'!E97</f>
        <v>808.52898000000096</v>
      </c>
      <c r="F66" s="110">
        <f>+'3_statement_model'!F97</f>
        <v>1064.3183701500016</v>
      </c>
      <c r="G66" s="110">
        <f>+'3_statement_model'!G97</f>
        <v>949.84888735125173</v>
      </c>
      <c r="H66" s="110">
        <f>+'3_statement_model'!H97</f>
        <v>1108.1015740217831</v>
      </c>
    </row>
    <row r="67" spans="1:8" outlineLevel="1" x14ac:dyDescent="0.35">
      <c r="B67" s="107" t="s">
        <v>83</v>
      </c>
      <c r="C67" s="114">
        <f>+C66/C65</f>
        <v>7.5020000000000003E-2</v>
      </c>
      <c r="D67" s="114">
        <f t="shared" ref="D67:H67" si="8">+D66/D65</f>
        <v>9.6261969192339827E-2</v>
      </c>
      <c r="E67" s="114">
        <f t="shared" si="8"/>
        <v>0.1231015453143614</v>
      </c>
      <c r="F67" s="114">
        <f t="shared" si="8"/>
        <v>0.14222575378455371</v>
      </c>
      <c r="G67" s="114">
        <f t="shared" si="8"/>
        <v>0.12813277900513048</v>
      </c>
      <c r="H67" s="114">
        <f t="shared" si="8"/>
        <v>0.1384492839901508</v>
      </c>
    </row>
    <row r="68" spans="1:8" outlineLevel="1" x14ac:dyDescent="0.35"/>
    <row r="70" spans="1:8" x14ac:dyDescent="0.35">
      <c r="A70" s="1" t="s">
        <v>15</v>
      </c>
      <c r="B70" s="98" t="s">
        <v>139</v>
      </c>
      <c r="C70" s="99"/>
      <c r="D70" s="99"/>
      <c r="E70" s="99"/>
      <c r="F70" s="99"/>
      <c r="G70" s="99"/>
      <c r="H70" s="99"/>
    </row>
    <row r="71" spans="1:8" outlineLevel="1" x14ac:dyDescent="0.35"/>
    <row r="72" spans="1:8" outlineLevel="1" x14ac:dyDescent="0.35">
      <c r="B72" s="1" t="s">
        <v>116</v>
      </c>
      <c r="C72" s="110">
        <f>+ABS(+'3_statement_model'!C113-'3_statement_model'!C103)</f>
        <v>50</v>
      </c>
      <c r="D72" s="110">
        <f>+ABS(+'3_statement_model'!D113-'3_statement_model'!D103)</f>
        <v>1130.8189999999993</v>
      </c>
      <c r="E72" s="110">
        <f>+ABS(+'3_statement_model'!E113-'3_statement_model'!E103)</f>
        <v>3198.1775199999984</v>
      </c>
      <c r="F72" s="110">
        <f>+ABS(+'3_statement_model'!F113-'3_statement_model'!F103)</f>
        <v>3245.5960248499973</v>
      </c>
      <c r="G72" s="110">
        <f>+ABS(+'3_statement_model'!G113-'3_statement_model'!G103)</f>
        <v>1411.6968562487452</v>
      </c>
      <c r="H72" s="110">
        <f>+ABS(+'3_statement_model'!H113-'3_statement_model'!H103)</f>
        <v>670.47431308553791</v>
      </c>
    </row>
    <row r="73" spans="1:8" outlineLevel="1" x14ac:dyDescent="0.35">
      <c r="B73" s="1" t="s">
        <v>21</v>
      </c>
      <c r="C73" s="110">
        <f t="shared" ref="C73:H73" si="9">+C58</f>
        <v>1035</v>
      </c>
      <c r="D73" s="110">
        <f t="shared" si="9"/>
        <v>1403.0500000000011</v>
      </c>
      <c r="E73" s="110">
        <f t="shared" si="9"/>
        <v>1853.8790000000017</v>
      </c>
      <c r="F73" s="110">
        <f t="shared" si="9"/>
        <v>2403.402532500003</v>
      </c>
      <c r="G73" s="110">
        <f t="shared" si="9"/>
        <v>2284.1263344375029</v>
      </c>
      <c r="H73" s="110">
        <f t="shared" si="9"/>
        <v>2671.7950032609406</v>
      </c>
    </row>
    <row r="74" spans="1:8" s="109" customFormat="1" ht="15" outlineLevel="1" x14ac:dyDescent="0.3">
      <c r="B74" s="107" t="s">
        <v>141</v>
      </c>
      <c r="C74" s="115">
        <f>+C72/C73</f>
        <v>4.8309178743961352E-2</v>
      </c>
      <c r="D74" s="115">
        <f t="shared" ref="D74:H74" si="10">+D72/D73</f>
        <v>0.80597198959409744</v>
      </c>
      <c r="E74" s="115">
        <f t="shared" si="10"/>
        <v>1.7251274328044039</v>
      </c>
      <c r="F74" s="115">
        <f t="shared" si="10"/>
        <v>1.3504171610712046</v>
      </c>
      <c r="G74" s="115">
        <f t="shared" si="10"/>
        <v>0.61804674941344462</v>
      </c>
      <c r="H74" s="115">
        <f t="shared" si="10"/>
        <v>0.25094526798172029</v>
      </c>
    </row>
    <row r="75" spans="1:8" outlineLevel="1" x14ac:dyDescent="0.35"/>
    <row r="76" spans="1:8" outlineLevel="1" x14ac:dyDescent="0.35">
      <c r="B76" s="1" t="s">
        <v>140</v>
      </c>
    </row>
    <row r="77" spans="1:8" outlineLevel="1" x14ac:dyDescent="0.35">
      <c r="B77" s="1" t="s">
        <v>69</v>
      </c>
    </row>
    <row r="78" spans="1:8" s="109" customFormat="1" ht="15" outlineLevel="1" x14ac:dyDescent="0.3">
      <c r="B78" s="107" t="s">
        <v>151</v>
      </c>
      <c r="C78" s="115">
        <v>0.6</v>
      </c>
      <c r="D78" s="115"/>
      <c r="E78" s="115"/>
      <c r="F78" s="115"/>
      <c r="G78" s="115"/>
      <c r="H78" s="115"/>
    </row>
    <row r="79" spans="1:8" s="109" customFormat="1" ht="15" outlineLevel="1" x14ac:dyDescent="0.3">
      <c r="C79" s="125"/>
      <c r="D79" s="125"/>
      <c r="E79" s="125"/>
      <c r="F79" s="125"/>
      <c r="G79" s="125"/>
      <c r="H79" s="125"/>
    </row>
    <row r="80" spans="1:8" outlineLevel="1" x14ac:dyDescent="0.35">
      <c r="B80" s="109" t="s">
        <v>183</v>
      </c>
    </row>
    <row r="81" spans="1:8" outlineLevel="1" x14ac:dyDescent="0.35">
      <c r="B81" s="1" t="s">
        <v>21</v>
      </c>
      <c r="C81" s="110">
        <f>+C58</f>
        <v>1035</v>
      </c>
      <c r="D81" s="110">
        <f t="shared" ref="D81:H81" si="11">+D73</f>
        <v>1403.0500000000011</v>
      </c>
      <c r="E81" s="110">
        <f t="shared" si="11"/>
        <v>1853.8790000000017</v>
      </c>
      <c r="F81" s="110">
        <f t="shared" si="11"/>
        <v>2403.402532500003</v>
      </c>
      <c r="G81" s="110">
        <f t="shared" si="11"/>
        <v>2284.1263344375029</v>
      </c>
      <c r="H81" s="110">
        <f t="shared" si="11"/>
        <v>2671.7950032609406</v>
      </c>
    </row>
    <row r="82" spans="1:8" outlineLevel="1" x14ac:dyDescent="0.35">
      <c r="B82" s="1" t="s">
        <v>142</v>
      </c>
      <c r="C82" s="110">
        <f>+'3_statement_model'!C91</f>
        <v>70</v>
      </c>
      <c r="D82" s="110">
        <f>+'3_statement_model'!D91</f>
        <v>120</v>
      </c>
      <c r="E82" s="110">
        <f>+'3_statement_model'!E91</f>
        <v>120</v>
      </c>
      <c r="F82" s="110">
        <f>+'3_statement_model'!F91</f>
        <v>120</v>
      </c>
      <c r="G82" s="110">
        <f>+'3_statement_model'!G91</f>
        <v>120</v>
      </c>
      <c r="H82" s="110">
        <f>+'3_statement_model'!H91</f>
        <v>120</v>
      </c>
    </row>
    <row r="83" spans="1:8" s="109" customFormat="1" ht="15" outlineLevel="1" x14ac:dyDescent="0.3">
      <c r="B83" s="107" t="s">
        <v>161</v>
      </c>
      <c r="C83" s="116">
        <f>+C81/C82</f>
        <v>14.785714285714286</v>
      </c>
      <c r="D83" s="116">
        <f t="shared" ref="D83:H83" si="12">+D81/D82</f>
        <v>11.692083333333342</v>
      </c>
      <c r="E83" s="116">
        <f t="shared" si="12"/>
        <v>15.44899166666668</v>
      </c>
      <c r="F83" s="116">
        <f t="shared" si="12"/>
        <v>20.028354437500024</v>
      </c>
      <c r="G83" s="116">
        <f t="shared" si="12"/>
        <v>19.034386120312526</v>
      </c>
      <c r="H83" s="116">
        <f t="shared" si="12"/>
        <v>22.264958360507837</v>
      </c>
    </row>
    <row r="85" spans="1:8" x14ac:dyDescent="0.35">
      <c r="A85" s="1" t="s">
        <v>15</v>
      </c>
      <c r="B85" s="98" t="s">
        <v>143</v>
      </c>
      <c r="C85" s="99"/>
      <c r="D85" s="99"/>
      <c r="E85" s="99"/>
      <c r="F85" s="99"/>
      <c r="G85" s="99"/>
      <c r="H85" s="99"/>
    </row>
    <row r="86" spans="1:8" outlineLevel="1" x14ac:dyDescent="0.35"/>
    <row r="87" spans="1:8" outlineLevel="1" x14ac:dyDescent="0.35">
      <c r="B87" s="1" t="s">
        <v>145</v>
      </c>
      <c r="C87" s="110">
        <f>+'3_statement_model'!C135</f>
        <v>0</v>
      </c>
      <c r="D87" s="110">
        <f>+'3_statement_model'!D135</f>
        <v>-1090.8189999999993</v>
      </c>
      <c r="E87" s="110">
        <f>+'3_statement_model'!E135</f>
        <v>-1977.3585199999989</v>
      </c>
      <c r="F87" s="110">
        <f>+'3_statement_model'!F135</f>
        <v>87.581495150001047</v>
      </c>
      <c r="G87" s="110">
        <f>+'3_statement_model'!G135</f>
        <v>1923.8991686012521</v>
      </c>
      <c r="H87" s="110">
        <f>+'3_statement_model'!H135</f>
        <v>2172.1711693342831</v>
      </c>
    </row>
    <row r="88" spans="1:8" outlineLevel="1" x14ac:dyDescent="0.35">
      <c r="B88" s="1" t="s">
        <v>21</v>
      </c>
      <c r="C88" s="110">
        <f t="shared" ref="C88:H88" si="13">+C58</f>
        <v>1035</v>
      </c>
      <c r="D88" s="110">
        <f t="shared" si="13"/>
        <v>1403.0500000000011</v>
      </c>
      <c r="E88" s="110">
        <f t="shared" si="13"/>
        <v>1853.8790000000017</v>
      </c>
      <c r="F88" s="110">
        <f t="shared" si="13"/>
        <v>2403.402532500003</v>
      </c>
      <c r="G88" s="110">
        <f t="shared" si="13"/>
        <v>2284.1263344375029</v>
      </c>
      <c r="H88" s="110">
        <f t="shared" si="13"/>
        <v>2671.7950032609406</v>
      </c>
    </row>
    <row r="89" spans="1:8" outlineLevel="1" x14ac:dyDescent="0.35">
      <c r="B89" s="107" t="s">
        <v>144</v>
      </c>
      <c r="C89" s="114">
        <f>+C87/C88</f>
        <v>0</v>
      </c>
      <c r="D89" s="114">
        <f t="shared" ref="D89:H89" si="14">+D87/D88</f>
        <v>-0.77746267061045471</v>
      </c>
      <c r="E89" s="114">
        <f t="shared" si="14"/>
        <v>-1.0666060298433699</v>
      </c>
      <c r="F89" s="114">
        <f t="shared" si="14"/>
        <v>3.6440626971837038E-2</v>
      </c>
      <c r="G89" s="114">
        <f t="shared" si="14"/>
        <v>0.8422910500154267</v>
      </c>
      <c r="H89" s="114">
        <f t="shared" si="14"/>
        <v>0.81300068556275318</v>
      </c>
    </row>
    <row r="90" spans="1:8" outlineLevel="1" x14ac:dyDescent="0.35"/>
    <row r="91" spans="1:8" outlineLevel="1" x14ac:dyDescent="0.35">
      <c r="B91" s="1" t="s">
        <v>146</v>
      </c>
      <c r="C91" s="110"/>
      <c r="D91" s="110">
        <f>+'3_statement_model'!D163</f>
        <v>1785</v>
      </c>
      <c r="E91" s="110">
        <f>+'3_statement_model'!E163</f>
        <v>3123.5</v>
      </c>
      <c r="F91" s="110">
        <f>+'3_statement_model'!F163</f>
        <v>1508.2000000000007</v>
      </c>
      <c r="G91" s="110">
        <f>+'3_statement_model'!G163</f>
        <v>-2.8000000000133696E-2</v>
      </c>
      <c r="H91" s="110">
        <f>+'3_statement_model'!H163</f>
        <v>-0.11360000000001946</v>
      </c>
    </row>
    <row r="92" spans="1:8" outlineLevel="1" x14ac:dyDescent="0.35">
      <c r="B92" s="1" t="s">
        <v>155</v>
      </c>
      <c r="C92" s="110">
        <f>+C57</f>
        <v>5000</v>
      </c>
      <c r="D92" s="110">
        <f t="shared" ref="D92:H92" si="15">+D57</f>
        <v>5764.8000000000011</v>
      </c>
      <c r="E92" s="110">
        <f t="shared" si="15"/>
        <v>6567.9840000000022</v>
      </c>
      <c r="F92" s="110">
        <f t="shared" si="15"/>
        <v>7483.3027200000033</v>
      </c>
      <c r="G92" s="110">
        <f t="shared" si="15"/>
        <v>7413.0046560000037</v>
      </c>
      <c r="H92" s="110">
        <f t="shared" si="15"/>
        <v>8003.6641728000041</v>
      </c>
    </row>
    <row r="93" spans="1:8" s="109" customFormat="1" ht="15" outlineLevel="1" x14ac:dyDescent="0.3">
      <c r="B93" s="107" t="s">
        <v>147</v>
      </c>
      <c r="C93" s="114">
        <v>0</v>
      </c>
      <c r="D93" s="114">
        <f>+D91/D92</f>
        <v>0.30963780183180678</v>
      </c>
      <c r="E93" s="114">
        <f t="shared" ref="E93:H93" si="16">+E91/E92</f>
        <v>0.4755644958940215</v>
      </c>
      <c r="F93" s="114">
        <f t="shared" si="16"/>
        <v>0.20154202715455563</v>
      </c>
      <c r="G93" s="114">
        <f t="shared" si="16"/>
        <v>-3.777145880715292E-6</v>
      </c>
      <c r="H93" s="114">
        <f t="shared" si="16"/>
        <v>-1.4193499070848397E-5</v>
      </c>
    </row>
    <row r="94" spans="1:8" outlineLevel="1" x14ac:dyDescent="0.35"/>
    <row r="95" spans="1:8" outlineLevel="1" x14ac:dyDescent="0.35"/>
    <row r="96" spans="1:8" outlineLevel="1" x14ac:dyDescent="0.35">
      <c r="B96" s="107" t="s">
        <v>152</v>
      </c>
      <c r="C96" s="114"/>
      <c r="D96" s="114"/>
      <c r="E96" s="114"/>
      <c r="F96" s="114"/>
      <c r="G96" s="114"/>
      <c r="H96" s="114"/>
    </row>
    <row r="98" spans="1:8" x14ac:dyDescent="0.35">
      <c r="A98" s="1" t="s">
        <v>15</v>
      </c>
      <c r="B98" s="98" t="s">
        <v>148</v>
      </c>
      <c r="C98" s="99"/>
      <c r="D98" s="99"/>
      <c r="E98" s="99"/>
      <c r="F98" s="99"/>
      <c r="G98" s="99"/>
      <c r="H98" s="99"/>
    </row>
    <row r="99" spans="1:8" outlineLevel="1" x14ac:dyDescent="0.35"/>
    <row r="100" spans="1:8" outlineLevel="1" x14ac:dyDescent="0.35">
      <c r="B100" s="107" t="s">
        <v>105</v>
      </c>
      <c r="C100" s="117"/>
      <c r="D100" s="114"/>
      <c r="E100" s="114"/>
      <c r="F100" s="114"/>
      <c r="G100" s="114"/>
      <c r="H100" s="114">
        <f>+EV_EqV!C42</f>
        <v>7.35875E-2</v>
      </c>
    </row>
    <row r="101" spans="1:8" outlineLevel="1" x14ac:dyDescent="0.35">
      <c r="B101" s="109"/>
      <c r="D101" s="123"/>
      <c r="E101" s="123"/>
      <c r="F101" s="123"/>
      <c r="G101" s="123"/>
      <c r="H101" s="123"/>
    </row>
    <row r="102" spans="1:8" outlineLevel="1" x14ac:dyDescent="0.35">
      <c r="B102" s="107" t="s">
        <v>182</v>
      </c>
      <c r="C102" s="117"/>
      <c r="D102" s="114"/>
      <c r="E102" s="114"/>
      <c r="F102" s="114"/>
      <c r="G102" s="114"/>
      <c r="H102" s="115">
        <f>+'3_statement_model'!H127-(H109*H100)</f>
        <v>740.50841236801352</v>
      </c>
    </row>
    <row r="103" spans="1:8" outlineLevel="1" x14ac:dyDescent="0.35"/>
    <row r="104" spans="1:8" outlineLevel="1" x14ac:dyDescent="0.35">
      <c r="B104" s="1" t="s">
        <v>122</v>
      </c>
      <c r="H104" s="2">
        <f>+EV_EqV!F15</f>
        <v>16300.189036288819</v>
      </c>
    </row>
    <row r="105" spans="1:8" outlineLevel="1" x14ac:dyDescent="0.35">
      <c r="B105" s="1" t="s">
        <v>21</v>
      </c>
      <c r="H105" s="2">
        <f>+C58</f>
        <v>1035</v>
      </c>
    </row>
    <row r="106" spans="1:8" outlineLevel="1" x14ac:dyDescent="0.35">
      <c r="B106" s="107" t="s">
        <v>153</v>
      </c>
      <c r="C106" s="114"/>
      <c r="D106" s="114"/>
      <c r="E106" s="114"/>
      <c r="F106" s="114"/>
      <c r="G106" s="115"/>
      <c r="H106" s="115">
        <f>+H104/H105</f>
        <v>15.748974914288715</v>
      </c>
    </row>
    <row r="107" spans="1:8" outlineLevel="1" x14ac:dyDescent="0.35"/>
    <row r="108" spans="1:8" outlineLevel="1" x14ac:dyDescent="0.35">
      <c r="B108" s="1" t="s">
        <v>55</v>
      </c>
      <c r="C108" s="110">
        <f>+'3_statement_model'!C127</f>
        <v>0</v>
      </c>
      <c r="D108" s="110">
        <f>+'3_statement_model'!D127</f>
        <v>644.93100000000072</v>
      </c>
      <c r="E108" s="110">
        <f>+'3_statement_model'!E127</f>
        <v>898.52898000000096</v>
      </c>
      <c r="F108" s="110">
        <f>+'3_statement_model'!F127</f>
        <v>1199.3183701500016</v>
      </c>
      <c r="G108" s="110">
        <f>+'3_statement_model'!G127</f>
        <v>1039.8488873512517</v>
      </c>
      <c r="H108" s="110">
        <f>+'3_statement_model'!H127</f>
        <v>1198.1015740217831</v>
      </c>
    </row>
    <row r="109" spans="1:8" outlineLevel="1" x14ac:dyDescent="0.35">
      <c r="B109" s="1" t="s">
        <v>154</v>
      </c>
      <c r="C109" s="110">
        <f>+'3_statement_model'!C119+('3_statement_model'!C113-'3_statement_model'!C103)</f>
        <v>2353.1</v>
      </c>
      <c r="D109" s="110">
        <f>+'3_statement_model'!D119+('3_statement_model'!D113-'3_statement_model'!D103)</f>
        <v>4088.8500000000004</v>
      </c>
      <c r="E109" s="110">
        <f>+'3_statement_model'!E119+('3_statement_model'!E113-'3_statement_model'!E103)</f>
        <v>6964.7375000000002</v>
      </c>
      <c r="F109" s="110">
        <f>+'3_statement_model'!F119+('3_statement_model'!F113-'3_statement_model'!F103)</f>
        <v>8076.4743750000016</v>
      </c>
      <c r="G109" s="110">
        <f>+'3_statement_model'!G119+('3_statement_model'!G113-'3_statement_model'!G103)</f>
        <v>7192.4240937500008</v>
      </c>
      <c r="H109" s="110">
        <f>+'3_statement_model'!H119+('3_statement_model'!H113-'3_statement_model'!H103)</f>
        <v>6218.3544984375012</v>
      </c>
    </row>
    <row r="110" spans="1:8" outlineLevel="1" x14ac:dyDescent="0.35">
      <c r="B110" s="107" t="s">
        <v>149</v>
      </c>
      <c r="C110" s="114">
        <f>+C108/C109</f>
        <v>0</v>
      </c>
      <c r="D110" s="114">
        <f t="shared" ref="D110:H110" si="17">+D108/D109</f>
        <v>0.15772919035914759</v>
      </c>
      <c r="E110" s="114">
        <f t="shared" si="17"/>
        <v>0.12901117665956555</v>
      </c>
      <c r="F110" s="114">
        <f t="shared" si="17"/>
        <v>0.14849528574774948</v>
      </c>
      <c r="G110" s="114">
        <f t="shared" si="17"/>
        <v>0.14457558033248472</v>
      </c>
      <c r="H110" s="114">
        <f t="shared" si="17"/>
        <v>0.19267180317925467</v>
      </c>
    </row>
    <row r="111" spans="1:8" outlineLevel="1" x14ac:dyDescent="0.35">
      <c r="B111" s="112" t="s">
        <v>44</v>
      </c>
      <c r="C111" s="118" t="str">
        <f>+IF(C110&gt;$H$100, "Profit", "Loss")</f>
        <v>Loss</v>
      </c>
      <c r="D111" s="118" t="str">
        <f t="shared" ref="D111:H111" si="18">+IF(D110&gt;$H$100, "Profit", "Loss")</f>
        <v>Profit</v>
      </c>
      <c r="E111" s="118" t="str">
        <f t="shared" si="18"/>
        <v>Profit</v>
      </c>
      <c r="F111" s="118" t="str">
        <f t="shared" si="18"/>
        <v>Profit</v>
      </c>
      <c r="G111" s="118" t="str">
        <f t="shared" si="18"/>
        <v>Profit</v>
      </c>
      <c r="H111" s="118" t="str">
        <f t="shared" si="18"/>
        <v>Profit</v>
      </c>
    </row>
    <row r="112" spans="1:8" outlineLevel="1" x14ac:dyDescent="0.35"/>
  </sheetData>
  <dataValidations disablePrompts="1" count="1">
    <dataValidation type="list" allowBlank="1" showInputMessage="1" showErrorMessage="1" sqref="B9" xr:uid="{94EEF3A4-E745-4348-B7D0-3AEB7B2B552F}">
      <formula1>$G$8:$G$10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2:W202"/>
  <sheetViews>
    <sheetView showGridLines="0" zoomScale="62" zoomScaleNormal="78" workbookViewId="0">
      <pane xSplit="2" ySplit="4" topLeftCell="C180" activePane="bottomRight" state="frozen"/>
      <selection pane="topRight" activeCell="C1" sqref="C1"/>
      <selection pane="bottomLeft" activeCell="A4" sqref="A4"/>
      <selection pane="bottomRight" activeCell="B75" sqref="A75:XFD75"/>
    </sheetView>
  </sheetViews>
  <sheetFormatPr defaultRowHeight="14" outlineLevelRow="2" x14ac:dyDescent="0.3"/>
  <cols>
    <col min="1" max="1" width="1.90625" style="6" bestFit="1" customWidth="1"/>
    <col min="2" max="2" width="27.81640625" style="6" bestFit="1" customWidth="1"/>
    <col min="3" max="5" width="11.7265625" style="19" bestFit="1" customWidth="1"/>
    <col min="6" max="6" width="16.7265625" style="19" bestFit="1" customWidth="1"/>
    <col min="7" max="7" width="12.08984375" style="19" bestFit="1" customWidth="1"/>
    <col min="8" max="8" width="12.36328125" style="19" bestFit="1" customWidth="1"/>
    <col min="9" max="9" width="10.6328125" style="6" bestFit="1" customWidth="1"/>
    <col min="10" max="12" width="11.36328125" style="6" bestFit="1" customWidth="1"/>
    <col min="13" max="15" width="12.36328125" style="6" bestFit="1" customWidth="1"/>
    <col min="16" max="16" width="10.81640625" style="6" bestFit="1" customWidth="1"/>
    <col min="17" max="22" width="11.36328125" style="6" bestFit="1" customWidth="1"/>
    <col min="23" max="23" width="6.81640625" style="6" bestFit="1" customWidth="1"/>
    <col min="24" max="16384" width="8.7265625" style="6"/>
  </cols>
  <sheetData>
    <row r="2" spans="1:8" ht="15" x14ac:dyDescent="0.3">
      <c r="B2" s="3"/>
      <c r="C2" s="58"/>
      <c r="D2" s="5"/>
      <c r="E2" s="5"/>
      <c r="F2" s="5"/>
      <c r="G2" s="5"/>
      <c r="H2" s="5"/>
    </row>
    <row r="3" spans="1:8" ht="15" x14ac:dyDescent="0.3">
      <c r="B3" s="3"/>
      <c r="C3" s="58"/>
      <c r="D3" s="5"/>
      <c r="E3" s="5"/>
      <c r="F3" s="5" t="s">
        <v>0</v>
      </c>
      <c r="G3" s="5"/>
      <c r="H3" s="5"/>
    </row>
    <row r="4" spans="1:8" ht="15" x14ac:dyDescent="0.3">
      <c r="A4" s="6" t="s">
        <v>15</v>
      </c>
      <c r="B4" s="3" t="s">
        <v>1</v>
      </c>
      <c r="C4" s="4">
        <v>2020</v>
      </c>
      <c r="D4" s="5">
        <f>+C4+1</f>
        <v>2021</v>
      </c>
      <c r="E4" s="5">
        <f t="shared" ref="E4:H4" si="0">+D4+1</f>
        <v>2022</v>
      </c>
      <c r="F4" s="5">
        <f t="shared" si="0"/>
        <v>2023</v>
      </c>
      <c r="G4" s="5">
        <f t="shared" si="0"/>
        <v>2024</v>
      </c>
      <c r="H4" s="5">
        <f t="shared" si="0"/>
        <v>2025</v>
      </c>
    </row>
    <row r="6" spans="1:8" x14ac:dyDescent="0.3">
      <c r="A6" s="6" t="s">
        <v>15</v>
      </c>
      <c r="B6" s="12" t="s">
        <v>16</v>
      </c>
      <c r="C6" s="56"/>
      <c r="D6" s="56"/>
      <c r="E6" s="56"/>
      <c r="F6" s="56"/>
      <c r="G6" s="56"/>
      <c r="H6" s="56"/>
    </row>
    <row r="7" spans="1:8" hidden="1" outlineLevel="1" x14ac:dyDescent="0.3"/>
    <row r="8" spans="1:8" hidden="1" outlineLevel="1" x14ac:dyDescent="0.3">
      <c r="A8" s="6" t="s">
        <v>15</v>
      </c>
      <c r="B8" s="31" t="s">
        <v>129</v>
      </c>
      <c r="C8" s="55"/>
      <c r="D8" s="55"/>
      <c r="E8" s="55"/>
      <c r="F8" s="55"/>
      <c r="G8" s="55"/>
      <c r="H8" s="55"/>
    </row>
    <row r="9" spans="1:8" hidden="1" outlineLevel="1" x14ac:dyDescent="0.3">
      <c r="B9" s="6" t="s">
        <v>2</v>
      </c>
      <c r="D9" s="57">
        <f>+CHOOSE(sensitivity_analysis!$B$9,'3_statement_model'!D24,'3_statement_model'!D39,'3_statement_model'!D54)</f>
        <v>0.14000000000000001</v>
      </c>
      <c r="E9" s="57">
        <f>+CHOOSE(sensitivity_analysis!$B$9,'3_statement_model'!E24,'3_statement_model'!E39,'3_statement_model'!E54)</f>
        <v>0.14000000000000001</v>
      </c>
      <c r="F9" s="57">
        <f>+CHOOSE(sensitivity_analysis!$B$9,'3_statement_model'!F24,'3_statement_model'!F39,'3_statement_model'!F54)</f>
        <v>0.14000000000000001</v>
      </c>
      <c r="G9" s="57">
        <f>+CHOOSE(sensitivity_analysis!$B$9,'3_statement_model'!G24,'3_statement_model'!G39,'3_statement_model'!G54)</f>
        <v>-0.01</v>
      </c>
      <c r="H9" s="57">
        <f>+CHOOSE(sensitivity_analysis!$B$9,'3_statement_model'!H24,'3_statement_model'!H39,'3_statement_model'!H54)</f>
        <v>0.08</v>
      </c>
    </row>
    <row r="10" spans="1:8" hidden="1" outlineLevel="1" x14ac:dyDescent="0.3">
      <c r="B10" s="6" t="s">
        <v>45</v>
      </c>
      <c r="D10" s="57">
        <f>+CHOOSE(sensitivity_analysis!$B$9,'3_statement_model'!D25,'3_statement_model'!D40,'3_statement_model'!D55)</f>
        <v>0.08</v>
      </c>
      <c r="E10" s="57">
        <f>+CHOOSE(sensitivity_analysis!$B$9,'3_statement_model'!E25,'3_statement_model'!E40,'3_statement_model'!E55)</f>
        <v>0.08</v>
      </c>
      <c r="F10" s="57">
        <f>+CHOOSE(sensitivity_analysis!$B$9,'3_statement_model'!F25,'3_statement_model'!F40,'3_statement_model'!F55)</f>
        <v>0.08</v>
      </c>
      <c r="G10" s="57">
        <f>+CHOOSE(sensitivity_analysis!$B$9,'3_statement_model'!G25,'3_statement_model'!G40,'3_statement_model'!G55)</f>
        <v>0.05</v>
      </c>
      <c r="H10" s="57">
        <f>+CHOOSE(sensitivity_analysis!$B$9,'3_statement_model'!H25,'3_statement_model'!H40,'3_statement_model'!H55)</f>
        <v>0.05</v>
      </c>
    </row>
    <row r="11" spans="1:8" hidden="1" outlineLevel="1" x14ac:dyDescent="0.3">
      <c r="B11" s="6" t="s">
        <v>3</v>
      </c>
      <c r="D11" s="57">
        <f>+CHOOSE(sensitivity_analysis!$B$9,'3_statement_model'!D26,'3_statement_model'!D41,'3_statement_model'!D56)</f>
        <v>0.12</v>
      </c>
      <c r="E11" s="57">
        <f>+CHOOSE(sensitivity_analysis!$B$9,'3_statement_model'!E26,'3_statement_model'!E41,'3_statement_model'!E56)</f>
        <v>0.11</v>
      </c>
      <c r="F11" s="57">
        <f>+CHOOSE(sensitivity_analysis!$B$9,'3_statement_model'!F26,'3_statement_model'!F41,'3_statement_model'!F56)</f>
        <v>0.1</v>
      </c>
      <c r="G11" s="57">
        <f>+CHOOSE(sensitivity_analysis!$B$9,'3_statement_model'!G26,'3_statement_model'!G41,'3_statement_model'!G56)</f>
        <v>-0.03</v>
      </c>
      <c r="H11" s="57">
        <f>+CHOOSE(sensitivity_analysis!$B$9,'3_statement_model'!H26,'3_statement_model'!H41,'3_statement_model'!H56)</f>
        <v>0.05</v>
      </c>
    </row>
    <row r="12" spans="1:8" hidden="1" outlineLevel="1" x14ac:dyDescent="0.3">
      <c r="B12" s="6" t="s">
        <v>5</v>
      </c>
      <c r="D12" s="57">
        <f>+CHOOSE(sensitivity_analysis!$B$9,'3_statement_model'!D27,'3_statement_model'!D42,'3_statement_model'!D57)</f>
        <v>7.0000000000000007E-2</v>
      </c>
      <c r="E12" s="57">
        <f>+CHOOSE(sensitivity_analysis!$B$9,'3_statement_model'!E27,'3_statement_model'!E42,'3_statement_model'!E57)</f>
        <v>7.0000000000000007E-2</v>
      </c>
      <c r="F12" s="57">
        <f>+CHOOSE(sensitivity_analysis!$B$9,'3_statement_model'!F27,'3_statement_model'!F42,'3_statement_model'!F57)</f>
        <v>7.0000000000000007E-2</v>
      </c>
      <c r="G12" s="57">
        <f>+CHOOSE(sensitivity_analysis!$B$9,'3_statement_model'!G27,'3_statement_model'!G42,'3_statement_model'!G57)</f>
        <v>0.03</v>
      </c>
      <c r="H12" s="57">
        <f>+CHOOSE(sensitivity_analysis!$B$9,'3_statement_model'!H27,'3_statement_model'!H42,'3_statement_model'!H57)</f>
        <v>0.03</v>
      </c>
    </row>
    <row r="13" spans="1:8" hidden="1" outlineLevel="1" x14ac:dyDescent="0.3">
      <c r="B13" s="6" t="s">
        <v>6</v>
      </c>
      <c r="D13" s="57">
        <f>+CHOOSE(sensitivity_analysis!$B$9,'3_statement_model'!D28,'3_statement_model'!D43,'3_statement_model'!D58)</f>
        <v>4.4999999999999998E-2</v>
      </c>
      <c r="E13" s="57">
        <f>+CHOOSE(sensitivity_analysis!$B$9,'3_statement_model'!E28,'3_statement_model'!E43,'3_statement_model'!E58)</f>
        <v>4.4999999999999998E-2</v>
      </c>
      <c r="F13" s="57">
        <f>+CHOOSE(sensitivity_analysis!$B$9,'3_statement_model'!F28,'3_statement_model'!F43,'3_statement_model'!F58)</f>
        <v>4.4999999999999998E-2</v>
      </c>
      <c r="G13" s="57">
        <f>+CHOOSE(sensitivity_analysis!$B$9,'3_statement_model'!G28,'3_statement_model'!G43,'3_statement_model'!G58)</f>
        <v>4.4999999999999998E-2</v>
      </c>
      <c r="H13" s="57">
        <f>+CHOOSE(sensitivity_analysis!$B$9,'3_statement_model'!H28,'3_statement_model'!H43,'3_statement_model'!H58)</f>
        <v>4.4999999999999998E-2</v>
      </c>
    </row>
    <row r="14" spans="1:8" hidden="1" outlineLevel="1" x14ac:dyDescent="0.3">
      <c r="B14" s="6" t="s">
        <v>7</v>
      </c>
      <c r="D14" s="57">
        <f>+CHOOSE(sensitivity_analysis!$B$9,'3_statement_model'!D29,'3_statement_model'!D44,'3_statement_model'!D59)</f>
        <v>0.05</v>
      </c>
      <c r="E14" s="57">
        <f>+CHOOSE(sensitivity_analysis!$B$9,'3_statement_model'!E29,'3_statement_model'!E44,'3_statement_model'!E59)</f>
        <v>0.05</v>
      </c>
      <c r="F14" s="57">
        <f>+CHOOSE(sensitivity_analysis!$B$9,'3_statement_model'!F29,'3_statement_model'!F44,'3_statement_model'!F59)</f>
        <v>0.05</v>
      </c>
      <c r="G14" s="57">
        <f>+CHOOSE(sensitivity_analysis!$B$9,'3_statement_model'!G29,'3_statement_model'!G44,'3_statement_model'!G59)</f>
        <v>0.05</v>
      </c>
      <c r="H14" s="57">
        <f>+CHOOSE(sensitivity_analysis!$B$9,'3_statement_model'!H29,'3_statement_model'!H44,'3_statement_model'!H59)</f>
        <v>0.05</v>
      </c>
    </row>
    <row r="15" spans="1:8" hidden="1" outlineLevel="1" x14ac:dyDescent="0.3">
      <c r="B15" s="6" t="s">
        <v>46</v>
      </c>
      <c r="D15" s="57">
        <f>+CHOOSE(sensitivity_analysis!$B$9,'3_statement_model'!D30,'3_statement_model'!D45,'3_statement_model'!D60)</f>
        <v>0.1</v>
      </c>
      <c r="E15" s="57">
        <f>+CHOOSE(sensitivity_analysis!$B$9,'3_statement_model'!E30,'3_statement_model'!E45,'3_statement_model'!E60)</f>
        <v>0.1</v>
      </c>
      <c r="F15" s="57">
        <f>+CHOOSE(sensitivity_analysis!$B$9,'3_statement_model'!F30,'3_statement_model'!F45,'3_statement_model'!F60)</f>
        <v>0.2</v>
      </c>
      <c r="G15" s="57">
        <f>+CHOOSE(sensitivity_analysis!$B$9,'3_statement_model'!G30,'3_statement_model'!G45,'3_statement_model'!G60)</f>
        <v>0.2</v>
      </c>
      <c r="H15" s="57">
        <f>+CHOOSE(sensitivity_analysis!$B$9,'3_statement_model'!H30,'3_statement_model'!H45,'3_statement_model'!H60)</f>
        <v>0.2</v>
      </c>
    </row>
    <row r="16" spans="1:8" hidden="1" outlineLevel="1" x14ac:dyDescent="0.3">
      <c r="B16" s="6" t="s">
        <v>167</v>
      </c>
      <c r="D16" s="57">
        <f>+CHOOSE(sensitivity_analysis!$B$9,'3_statement_model'!D31,'3_statement_model'!D46,'3_statement_model'!D61)</f>
        <v>0.1</v>
      </c>
      <c r="E16" s="57">
        <f>+CHOOSE(sensitivity_analysis!$B$9,'3_statement_model'!E31,'3_statement_model'!E46,'3_statement_model'!E61)</f>
        <v>0.1</v>
      </c>
      <c r="F16" s="57">
        <f>+CHOOSE(sensitivity_analysis!$B$9,'3_statement_model'!F31,'3_statement_model'!F46,'3_statement_model'!F61)</f>
        <v>0.2</v>
      </c>
      <c r="G16" s="57">
        <f>+CHOOSE(sensitivity_analysis!$B$9,'3_statement_model'!G31,'3_statement_model'!G46,'3_statement_model'!G61)</f>
        <v>0.2</v>
      </c>
      <c r="H16" s="57">
        <f>+CHOOSE(sensitivity_analysis!$B$9,'3_statement_model'!H31,'3_statement_model'!H46,'3_statement_model'!H61)</f>
        <v>0.2</v>
      </c>
    </row>
    <row r="17" spans="1:9" hidden="1" outlineLevel="1" x14ac:dyDescent="0.3">
      <c r="B17" s="6" t="s">
        <v>14</v>
      </c>
      <c r="D17" s="54">
        <f>+CHOOSE(sensitivity_analysis!$B$9,'3_statement_model'!D32,'3_statement_model'!D47,'3_statement_model'!D62)</f>
        <v>30</v>
      </c>
      <c r="E17" s="54">
        <f>+CHOOSE(sensitivity_analysis!$B$9,'3_statement_model'!E32,'3_statement_model'!E47,'3_statement_model'!E62)</f>
        <v>30</v>
      </c>
      <c r="F17" s="54">
        <f>+CHOOSE(sensitivity_analysis!$B$9,'3_statement_model'!F32,'3_statement_model'!F47,'3_statement_model'!F62)</f>
        <v>30</v>
      </c>
      <c r="G17" s="54">
        <f>+CHOOSE(sensitivity_analysis!$B$9,'3_statement_model'!G32,'3_statement_model'!G47,'3_statement_model'!G62)</f>
        <v>30</v>
      </c>
      <c r="H17" s="54">
        <f>+CHOOSE(sensitivity_analysis!$B$9,'3_statement_model'!H32,'3_statement_model'!H47,'3_statement_model'!H62)</f>
        <v>30</v>
      </c>
      <c r="I17" s="17"/>
    </row>
    <row r="18" spans="1:9" hidden="1" outlineLevel="1" x14ac:dyDescent="0.3">
      <c r="B18" s="6" t="s">
        <v>13</v>
      </c>
      <c r="D18" s="54">
        <f>+CHOOSE(sensitivity_analysis!$B$9,'3_statement_model'!D33,'3_statement_model'!D48,'3_statement_model'!D63)</f>
        <v>120</v>
      </c>
      <c r="E18" s="54">
        <f>+CHOOSE(sensitivity_analysis!$B$9,'3_statement_model'!E33,'3_statement_model'!E48,'3_statement_model'!E63)</f>
        <v>120</v>
      </c>
      <c r="F18" s="54">
        <f>+CHOOSE(sensitivity_analysis!$B$9,'3_statement_model'!F33,'3_statement_model'!F48,'3_statement_model'!F63)</f>
        <v>120</v>
      </c>
      <c r="G18" s="54">
        <f>+CHOOSE(sensitivity_analysis!$B$9,'3_statement_model'!G33,'3_statement_model'!G48,'3_statement_model'!G63)</f>
        <v>120</v>
      </c>
      <c r="H18" s="54">
        <f>+CHOOSE(sensitivity_analysis!$B$9,'3_statement_model'!H33,'3_statement_model'!H48,'3_statement_model'!H63)</f>
        <v>120</v>
      </c>
      <c r="I18" s="17"/>
    </row>
    <row r="19" spans="1:9" hidden="1" outlineLevel="1" x14ac:dyDescent="0.3">
      <c r="B19" s="6" t="s">
        <v>49</v>
      </c>
      <c r="C19" s="54"/>
      <c r="D19" s="54">
        <f>+CHOOSE(sensitivity_analysis!$B$9,'3_statement_model'!D34,'3_statement_model'!D49,'3_statement_model'!D64)</f>
        <v>0</v>
      </c>
      <c r="E19" s="54">
        <f>+CHOOSE(sensitivity_analysis!$B$9,'3_statement_model'!E34,'3_statement_model'!E49,'3_statement_model'!E64)</f>
        <v>0</v>
      </c>
      <c r="F19" s="54">
        <f>+CHOOSE(sensitivity_analysis!$B$9,'3_statement_model'!F34,'3_statement_model'!F49,'3_statement_model'!F64)</f>
        <v>-45</v>
      </c>
      <c r="G19" s="54">
        <f>+CHOOSE(sensitivity_analysis!$B$9,'3_statement_model'!G34,'3_statement_model'!G49,'3_statement_model'!G64)</f>
        <v>0</v>
      </c>
      <c r="H19" s="54">
        <f>+CHOOSE(sensitivity_analysis!$B$9,'3_statement_model'!H34,'3_statement_model'!H49,'3_statement_model'!H64)</f>
        <v>0</v>
      </c>
    </row>
    <row r="20" spans="1:9" hidden="1" outlineLevel="1" x14ac:dyDescent="0.3">
      <c r="B20" s="6" t="s">
        <v>18</v>
      </c>
      <c r="C20" s="57">
        <v>0.38</v>
      </c>
      <c r="D20" s="57">
        <f>+CHOOSE(sensitivity_analysis!$B$9,'3_statement_model'!D35,'3_statement_model'!D50,'3_statement_model'!D65)</f>
        <v>0.38</v>
      </c>
      <c r="E20" s="57">
        <f>+CHOOSE(sensitivity_analysis!$B$9,'3_statement_model'!E35,'3_statement_model'!E50,'3_statement_model'!E65)</f>
        <v>0.38</v>
      </c>
      <c r="F20" s="57">
        <f>+CHOOSE(sensitivity_analysis!$B$9,'3_statement_model'!F35,'3_statement_model'!F50,'3_statement_model'!F65)</f>
        <v>0.38</v>
      </c>
      <c r="G20" s="57">
        <f>+CHOOSE(sensitivity_analysis!$B$9,'3_statement_model'!G35,'3_statement_model'!G50,'3_statement_model'!G65)</f>
        <v>0.38</v>
      </c>
      <c r="H20" s="57">
        <f>+CHOOSE(sensitivity_analysis!$B$9,'3_statement_model'!H35,'3_statement_model'!H50,'3_statement_model'!H65)</f>
        <v>0.38</v>
      </c>
    </row>
    <row r="21" spans="1:9" hidden="1" outlineLevel="1" x14ac:dyDescent="0.3">
      <c r="B21" s="6" t="s">
        <v>68</v>
      </c>
      <c r="C21" s="54"/>
      <c r="D21" s="54">
        <f>+CHOOSE(sensitivity_analysis!$B$9,'3_statement_model'!D36,'3_statement_model'!D51,'3_statement_model'!D66)</f>
        <v>0</v>
      </c>
      <c r="E21" s="54">
        <f>+CHOOSE(sensitivity_analysis!$B$9,'3_statement_model'!E36,'3_statement_model'!E51,'3_statement_model'!E66)</f>
        <v>0</v>
      </c>
      <c r="F21" s="54">
        <f>+CHOOSE(sensitivity_analysis!$B$9,'3_statement_model'!F36,'3_statement_model'!F51,'3_statement_model'!F66)</f>
        <v>0</v>
      </c>
      <c r="G21" s="54">
        <f>+CHOOSE(sensitivity_analysis!$B$9,'3_statement_model'!G36,'3_statement_model'!G51,'3_statement_model'!G66)</f>
        <v>-30</v>
      </c>
      <c r="H21" s="54">
        <f>+CHOOSE(sensitivity_analysis!$B$9,'3_statement_model'!H36,'3_statement_model'!H51,'3_statement_model'!H66)</f>
        <v>-30</v>
      </c>
    </row>
    <row r="22" spans="1:9" hidden="1" outlineLevel="1" x14ac:dyDescent="0.3"/>
    <row r="23" spans="1:9" hidden="1" outlineLevel="1" x14ac:dyDescent="0.3">
      <c r="A23" s="6" t="s">
        <v>15</v>
      </c>
      <c r="B23" s="31" t="s">
        <v>126</v>
      </c>
      <c r="C23" s="55"/>
      <c r="D23" s="55"/>
      <c r="E23" s="55"/>
      <c r="F23" s="55"/>
      <c r="G23" s="55"/>
      <c r="H23" s="55"/>
    </row>
    <row r="24" spans="1:9" hidden="1" outlineLevel="2" x14ac:dyDescent="0.3">
      <c r="B24" s="6" t="s">
        <v>2</v>
      </c>
      <c r="D24" s="57">
        <v>0.14000000000000001</v>
      </c>
      <c r="E24" s="57">
        <v>0.14000000000000001</v>
      </c>
      <c r="F24" s="57">
        <v>0.14000000000000001</v>
      </c>
      <c r="G24" s="57">
        <v>-0.01</v>
      </c>
      <c r="H24" s="57">
        <v>0.08</v>
      </c>
    </row>
    <row r="25" spans="1:9" hidden="1" outlineLevel="2" x14ac:dyDescent="0.3">
      <c r="B25" s="6" t="s">
        <v>45</v>
      </c>
      <c r="D25" s="57">
        <v>0.08</v>
      </c>
      <c r="E25" s="57">
        <v>0.08</v>
      </c>
      <c r="F25" s="57">
        <v>0.08</v>
      </c>
      <c r="G25" s="57">
        <v>0.05</v>
      </c>
      <c r="H25" s="57">
        <v>0.05</v>
      </c>
    </row>
    <row r="26" spans="1:9" hidden="1" outlineLevel="2" x14ac:dyDescent="0.3">
      <c r="B26" s="6" t="s">
        <v>3</v>
      </c>
      <c r="D26" s="57">
        <v>0.12</v>
      </c>
      <c r="E26" s="57">
        <v>0.11</v>
      </c>
      <c r="F26" s="57">
        <v>0.1</v>
      </c>
      <c r="G26" s="57">
        <v>-0.03</v>
      </c>
      <c r="H26" s="57">
        <v>0.05</v>
      </c>
    </row>
    <row r="27" spans="1:9" hidden="1" outlineLevel="2" x14ac:dyDescent="0.3">
      <c r="B27" s="6" t="s">
        <v>5</v>
      </c>
      <c r="D27" s="57">
        <v>7.0000000000000007E-2</v>
      </c>
      <c r="E27" s="57">
        <v>7.0000000000000007E-2</v>
      </c>
      <c r="F27" s="57">
        <v>7.0000000000000007E-2</v>
      </c>
      <c r="G27" s="57">
        <v>0.03</v>
      </c>
      <c r="H27" s="57">
        <v>0.03</v>
      </c>
    </row>
    <row r="28" spans="1:9" hidden="1" outlineLevel="2" x14ac:dyDescent="0.3">
      <c r="B28" s="6" t="s">
        <v>48</v>
      </c>
      <c r="D28" s="57">
        <v>4.4999999999999998E-2</v>
      </c>
      <c r="E28" s="57">
        <v>4.4999999999999998E-2</v>
      </c>
      <c r="F28" s="57">
        <v>4.4999999999999998E-2</v>
      </c>
      <c r="G28" s="57">
        <v>4.4999999999999998E-2</v>
      </c>
      <c r="H28" s="57">
        <v>4.4999999999999998E-2</v>
      </c>
    </row>
    <row r="29" spans="1:9" hidden="1" outlineLevel="2" x14ac:dyDescent="0.3">
      <c r="B29" s="6" t="s">
        <v>7</v>
      </c>
      <c r="D29" s="57">
        <v>0.05</v>
      </c>
      <c r="E29" s="57">
        <v>0.05</v>
      </c>
      <c r="F29" s="57">
        <v>0.05</v>
      </c>
      <c r="G29" s="57">
        <v>0.05</v>
      </c>
      <c r="H29" s="57">
        <v>0.05</v>
      </c>
    </row>
    <row r="30" spans="1:9" hidden="1" outlineLevel="2" x14ac:dyDescent="0.3">
      <c r="B30" s="6" t="s">
        <v>46</v>
      </c>
      <c r="D30" s="57">
        <v>0.1</v>
      </c>
      <c r="E30" s="57">
        <v>0.1</v>
      </c>
      <c r="F30" s="57">
        <v>0.2</v>
      </c>
      <c r="G30" s="57">
        <v>0.2</v>
      </c>
      <c r="H30" s="57">
        <v>0.2</v>
      </c>
    </row>
    <row r="31" spans="1:9" s="9" customFormat="1" hidden="1" outlineLevel="2" x14ac:dyDescent="0.3">
      <c r="A31" s="6"/>
      <c r="B31" s="6" t="s">
        <v>47</v>
      </c>
      <c r="C31" s="19"/>
      <c r="D31" s="57">
        <v>0.1</v>
      </c>
      <c r="E31" s="57">
        <v>0.1</v>
      </c>
      <c r="F31" s="57">
        <v>0.2</v>
      </c>
      <c r="G31" s="57">
        <v>0.2</v>
      </c>
      <c r="H31" s="57">
        <v>0.2</v>
      </c>
    </row>
    <row r="32" spans="1:9" hidden="1" outlineLevel="2" x14ac:dyDescent="0.3">
      <c r="B32" s="6" t="s">
        <v>14</v>
      </c>
      <c r="D32" s="54">
        <v>30</v>
      </c>
      <c r="E32" s="54">
        <v>30</v>
      </c>
      <c r="F32" s="54">
        <v>30</v>
      </c>
      <c r="G32" s="54">
        <v>30</v>
      </c>
      <c r="H32" s="54">
        <v>30</v>
      </c>
    </row>
    <row r="33" spans="1:8" s="8" customFormat="1" hidden="1" outlineLevel="2" x14ac:dyDescent="0.3">
      <c r="A33" s="6"/>
      <c r="B33" s="6" t="s">
        <v>13</v>
      </c>
      <c r="C33" s="19"/>
      <c r="D33" s="54">
        <v>120</v>
      </c>
      <c r="E33" s="54">
        <v>120</v>
      </c>
      <c r="F33" s="54">
        <v>120</v>
      </c>
      <c r="G33" s="54">
        <v>120</v>
      </c>
      <c r="H33" s="54">
        <v>120</v>
      </c>
    </row>
    <row r="34" spans="1:8" s="8" customFormat="1" hidden="1" outlineLevel="2" x14ac:dyDescent="0.3">
      <c r="A34" s="6"/>
      <c r="B34" s="6" t="s">
        <v>49</v>
      </c>
      <c r="C34" s="19"/>
      <c r="D34" s="54"/>
      <c r="E34" s="54"/>
      <c r="F34" s="54">
        <v>-45</v>
      </c>
      <c r="G34" s="54"/>
      <c r="H34" s="54"/>
    </row>
    <row r="35" spans="1:8" hidden="1" outlineLevel="2" x14ac:dyDescent="0.3">
      <c r="B35" s="6" t="s">
        <v>18</v>
      </c>
      <c r="C35" s="57">
        <v>0.38</v>
      </c>
      <c r="D35" s="57">
        <v>0.38</v>
      </c>
      <c r="E35" s="57">
        <v>0.38</v>
      </c>
      <c r="F35" s="57">
        <v>0.38</v>
      </c>
      <c r="G35" s="57">
        <v>0.38</v>
      </c>
      <c r="H35" s="57">
        <v>0.38</v>
      </c>
    </row>
    <row r="36" spans="1:8" hidden="1" outlineLevel="2" x14ac:dyDescent="0.3">
      <c r="B36" s="6" t="s">
        <v>68</v>
      </c>
      <c r="G36" s="19">
        <v>-30</v>
      </c>
      <c r="H36" s="19">
        <v>-30</v>
      </c>
    </row>
    <row r="37" spans="1:8" hidden="1" outlineLevel="1" collapsed="1" x14ac:dyDescent="0.3"/>
    <row r="38" spans="1:8" hidden="1" outlineLevel="1" x14ac:dyDescent="0.3">
      <c r="A38" s="6" t="s">
        <v>15</v>
      </c>
      <c r="B38" s="31" t="s">
        <v>127</v>
      </c>
      <c r="C38" s="55"/>
      <c r="D38" s="55"/>
      <c r="E38" s="55"/>
      <c r="F38" s="55"/>
      <c r="G38" s="55"/>
      <c r="H38" s="55"/>
    </row>
    <row r="39" spans="1:8" hidden="1" outlineLevel="2" x14ac:dyDescent="0.3">
      <c r="B39" s="6" t="s">
        <v>2</v>
      </c>
      <c r="D39" s="57">
        <v>0.14000000000000001</v>
      </c>
      <c r="E39" s="57">
        <v>0.15</v>
      </c>
      <c r="F39" s="57">
        <v>0.14499999999999999</v>
      </c>
      <c r="G39" s="57">
        <v>0.06</v>
      </c>
      <c r="H39" s="57">
        <v>0.12</v>
      </c>
    </row>
    <row r="40" spans="1:8" hidden="1" outlineLevel="2" x14ac:dyDescent="0.3">
      <c r="B40" s="6" t="s">
        <v>45</v>
      </c>
      <c r="D40" s="57">
        <v>0.08</v>
      </c>
      <c r="E40" s="57">
        <v>0.08</v>
      </c>
      <c r="F40" s="57">
        <v>0.08</v>
      </c>
      <c r="G40" s="57">
        <v>0.05</v>
      </c>
      <c r="H40" s="57">
        <v>0.05</v>
      </c>
    </row>
    <row r="41" spans="1:8" s="9" customFormat="1" hidden="1" outlineLevel="2" x14ac:dyDescent="0.3">
      <c r="A41" s="6"/>
      <c r="B41" s="6" t="s">
        <v>3</v>
      </c>
      <c r="C41" s="19"/>
      <c r="D41" s="57">
        <v>0.12</v>
      </c>
      <c r="E41" s="57">
        <v>0.11</v>
      </c>
      <c r="F41" s="57">
        <v>0.1</v>
      </c>
      <c r="G41" s="57">
        <v>-0.03</v>
      </c>
      <c r="H41" s="57">
        <v>0.05</v>
      </c>
    </row>
    <row r="42" spans="1:8" s="8" customFormat="1" hidden="1" outlineLevel="2" x14ac:dyDescent="0.3">
      <c r="A42" s="6"/>
      <c r="B42" s="6" t="s">
        <v>5</v>
      </c>
      <c r="C42" s="19"/>
      <c r="D42" s="57">
        <v>7.0000000000000007E-2</v>
      </c>
      <c r="E42" s="57">
        <v>7.0000000000000007E-2</v>
      </c>
      <c r="F42" s="57">
        <v>7.0000000000000007E-2</v>
      </c>
      <c r="G42" s="57">
        <v>0.03</v>
      </c>
      <c r="H42" s="57">
        <v>0.03</v>
      </c>
    </row>
    <row r="43" spans="1:8" s="8" customFormat="1" hidden="1" outlineLevel="2" x14ac:dyDescent="0.3">
      <c r="A43" s="6"/>
      <c r="B43" s="6" t="s">
        <v>48</v>
      </c>
      <c r="C43" s="19"/>
      <c r="D43" s="57">
        <v>4.4999999999999998E-2</v>
      </c>
      <c r="E43" s="57">
        <v>4.4999999999999998E-2</v>
      </c>
      <c r="F43" s="57">
        <v>4.4999999999999998E-2</v>
      </c>
      <c r="G43" s="57">
        <v>4.4999999999999998E-2</v>
      </c>
      <c r="H43" s="57">
        <v>4.4999999999999998E-2</v>
      </c>
    </row>
    <row r="44" spans="1:8" hidden="1" outlineLevel="2" x14ac:dyDescent="0.3">
      <c r="B44" s="6" t="s">
        <v>7</v>
      </c>
      <c r="D44" s="57">
        <v>0.05</v>
      </c>
      <c r="E44" s="57">
        <v>0.05</v>
      </c>
      <c r="F44" s="57">
        <v>0.05</v>
      </c>
      <c r="G44" s="57">
        <v>0.05</v>
      </c>
      <c r="H44" s="57">
        <v>0.05</v>
      </c>
    </row>
    <row r="45" spans="1:8" hidden="1" outlineLevel="2" x14ac:dyDescent="0.3">
      <c r="B45" s="6" t="s">
        <v>46</v>
      </c>
      <c r="D45" s="57">
        <v>0.1</v>
      </c>
      <c r="E45" s="57">
        <v>0.1</v>
      </c>
      <c r="F45" s="57">
        <v>0.2</v>
      </c>
      <c r="G45" s="57">
        <v>0.2</v>
      </c>
      <c r="H45" s="57">
        <v>0.2</v>
      </c>
    </row>
    <row r="46" spans="1:8" hidden="1" outlineLevel="2" x14ac:dyDescent="0.3">
      <c r="A46" s="9"/>
      <c r="B46" s="6" t="s">
        <v>47</v>
      </c>
      <c r="D46" s="57">
        <v>0.1</v>
      </c>
      <c r="E46" s="57">
        <v>0.1</v>
      </c>
      <c r="F46" s="57">
        <v>0.2</v>
      </c>
      <c r="G46" s="57">
        <v>0.2</v>
      </c>
      <c r="H46" s="57">
        <v>0.2</v>
      </c>
    </row>
    <row r="47" spans="1:8" s="9" customFormat="1" hidden="1" outlineLevel="2" x14ac:dyDescent="0.3">
      <c r="A47" s="6"/>
      <c r="B47" s="6" t="s">
        <v>14</v>
      </c>
      <c r="C47" s="19"/>
      <c r="D47" s="54">
        <v>30</v>
      </c>
      <c r="E47" s="54">
        <v>30</v>
      </c>
      <c r="F47" s="54">
        <v>30</v>
      </c>
      <c r="G47" s="54">
        <v>30</v>
      </c>
      <c r="H47" s="54">
        <v>30</v>
      </c>
    </row>
    <row r="48" spans="1:8" s="8" customFormat="1" hidden="1" outlineLevel="2" x14ac:dyDescent="0.3">
      <c r="B48" s="6" t="s">
        <v>13</v>
      </c>
      <c r="C48" s="19"/>
      <c r="D48" s="54">
        <f>+D33</f>
        <v>120</v>
      </c>
      <c r="E48" s="54">
        <f t="shared" ref="E48:H48" si="1">+E33</f>
        <v>120</v>
      </c>
      <c r="F48" s="54">
        <f t="shared" si="1"/>
        <v>120</v>
      </c>
      <c r="G48" s="54">
        <f t="shared" si="1"/>
        <v>120</v>
      </c>
      <c r="H48" s="54">
        <f t="shared" si="1"/>
        <v>120</v>
      </c>
    </row>
    <row r="49" spans="1:10" s="8" customFormat="1" hidden="1" outlineLevel="2" x14ac:dyDescent="0.3">
      <c r="B49" s="6" t="s">
        <v>49</v>
      </c>
      <c r="C49" s="19"/>
      <c r="D49" s="54"/>
      <c r="E49" s="54"/>
      <c r="F49" s="54">
        <v>-45</v>
      </c>
      <c r="G49" s="54"/>
      <c r="H49" s="54"/>
    </row>
    <row r="50" spans="1:10" hidden="1" outlineLevel="2" x14ac:dyDescent="0.3">
      <c r="B50" s="6" t="s">
        <v>18</v>
      </c>
      <c r="C50" s="57">
        <f>+C35</f>
        <v>0.38</v>
      </c>
      <c r="D50" s="57">
        <f t="shared" ref="D50:H50" si="2">+D35</f>
        <v>0.38</v>
      </c>
      <c r="E50" s="57">
        <f t="shared" si="2"/>
        <v>0.38</v>
      </c>
      <c r="F50" s="57">
        <f t="shared" si="2"/>
        <v>0.38</v>
      </c>
      <c r="G50" s="57">
        <f t="shared" si="2"/>
        <v>0.38</v>
      </c>
      <c r="H50" s="57">
        <f t="shared" si="2"/>
        <v>0.38</v>
      </c>
    </row>
    <row r="51" spans="1:10" hidden="1" outlineLevel="2" x14ac:dyDescent="0.3">
      <c r="B51" s="6" t="s">
        <v>68</v>
      </c>
      <c r="G51" s="19">
        <v>-30</v>
      </c>
      <c r="H51" s="19">
        <v>-30</v>
      </c>
    </row>
    <row r="52" spans="1:10" s="9" customFormat="1" hidden="1" outlineLevel="1" collapsed="1" x14ac:dyDescent="0.3">
      <c r="A52" s="6"/>
      <c r="B52" s="6"/>
      <c r="C52" s="19"/>
      <c r="D52" s="19"/>
      <c r="E52" s="19"/>
      <c r="F52" s="19"/>
      <c r="G52" s="19"/>
      <c r="H52" s="19"/>
    </row>
    <row r="53" spans="1:10" s="9" customFormat="1" hidden="1" outlineLevel="1" x14ac:dyDescent="0.3">
      <c r="A53" s="6" t="s">
        <v>15</v>
      </c>
      <c r="B53" s="31" t="s">
        <v>128</v>
      </c>
      <c r="C53" s="55"/>
      <c r="D53" s="55"/>
      <c r="E53" s="55"/>
      <c r="F53" s="55"/>
      <c r="G53" s="55"/>
      <c r="H53" s="55"/>
    </row>
    <row r="54" spans="1:10" s="8" customFormat="1" hidden="1" outlineLevel="2" x14ac:dyDescent="0.3">
      <c r="A54" s="6"/>
      <c r="B54" s="6" t="s">
        <v>2</v>
      </c>
      <c r="C54" s="19"/>
      <c r="D54" s="57">
        <v>0.09</v>
      </c>
      <c r="E54" s="57">
        <v>0.08</v>
      </c>
      <c r="F54" s="57">
        <v>7.0000000000000007E-2</v>
      </c>
      <c r="G54" s="57">
        <v>-0.02</v>
      </c>
      <c r="H54" s="57">
        <v>0.03</v>
      </c>
    </row>
    <row r="55" spans="1:10" s="8" customFormat="1" hidden="1" outlineLevel="2" x14ac:dyDescent="0.3">
      <c r="A55" s="9"/>
      <c r="B55" s="6" t="s">
        <v>45</v>
      </c>
      <c r="C55" s="19"/>
      <c r="D55" s="57">
        <v>0.06</v>
      </c>
      <c r="E55" s="57">
        <v>0.06</v>
      </c>
      <c r="F55" s="57">
        <v>0.08</v>
      </c>
      <c r="G55" s="57">
        <v>0.05</v>
      </c>
      <c r="H55" s="57">
        <v>0.05</v>
      </c>
    </row>
    <row r="56" spans="1:10" hidden="1" outlineLevel="2" x14ac:dyDescent="0.3">
      <c r="A56" s="8"/>
      <c r="B56" s="6" t="s">
        <v>3</v>
      </c>
      <c r="D56" s="57">
        <v>0.12</v>
      </c>
      <c r="E56" s="57">
        <v>0.12</v>
      </c>
      <c r="F56" s="57">
        <v>0.11</v>
      </c>
      <c r="G56" s="57">
        <v>-0.03</v>
      </c>
      <c r="H56" s="57">
        <v>0.06</v>
      </c>
    </row>
    <row r="57" spans="1:10" s="8" customFormat="1" hidden="1" outlineLevel="2" x14ac:dyDescent="0.3">
      <c r="B57" s="6" t="s">
        <v>5</v>
      </c>
      <c r="C57" s="19"/>
      <c r="D57" s="57">
        <v>7.0000000000000007E-2</v>
      </c>
      <c r="E57" s="57">
        <v>7.0000000000000007E-2</v>
      </c>
      <c r="F57" s="57">
        <v>7.0000000000000007E-2</v>
      </c>
      <c r="G57" s="57">
        <v>0.03</v>
      </c>
      <c r="H57" s="57">
        <v>0.03</v>
      </c>
    </row>
    <row r="58" spans="1:10" hidden="1" outlineLevel="2" x14ac:dyDescent="0.3">
      <c r="B58" s="6" t="s">
        <v>48</v>
      </c>
      <c r="D58" s="57">
        <v>4.4999999999999998E-2</v>
      </c>
      <c r="E58" s="57">
        <v>4.4999999999999998E-2</v>
      </c>
      <c r="F58" s="57">
        <v>4.4999999999999998E-2</v>
      </c>
      <c r="G58" s="57">
        <v>4.4999999999999998E-2</v>
      </c>
      <c r="H58" s="57">
        <v>4.4999999999999998E-2</v>
      </c>
      <c r="J58" s="22"/>
    </row>
    <row r="59" spans="1:10" hidden="1" outlineLevel="2" x14ac:dyDescent="0.3">
      <c r="B59" s="6" t="s">
        <v>7</v>
      </c>
      <c r="D59" s="57">
        <v>0.05</v>
      </c>
      <c r="E59" s="57">
        <v>0.05</v>
      </c>
      <c r="F59" s="57">
        <v>0.05</v>
      </c>
      <c r="G59" s="57">
        <v>0.05</v>
      </c>
      <c r="H59" s="57">
        <v>0.05</v>
      </c>
      <c r="J59" s="22"/>
    </row>
    <row r="60" spans="1:10" hidden="1" outlineLevel="2" x14ac:dyDescent="0.3">
      <c r="B60" s="6" t="s">
        <v>46</v>
      </c>
      <c r="D60" s="57">
        <v>0.1</v>
      </c>
      <c r="E60" s="57">
        <v>0.1</v>
      </c>
      <c r="F60" s="57">
        <v>0.2</v>
      </c>
      <c r="G60" s="57">
        <v>0.2</v>
      </c>
      <c r="H60" s="57">
        <v>0.2</v>
      </c>
    </row>
    <row r="61" spans="1:10" hidden="1" outlineLevel="2" x14ac:dyDescent="0.3">
      <c r="A61" s="9"/>
      <c r="B61" s="6" t="s">
        <v>47</v>
      </c>
      <c r="D61" s="57">
        <v>0.1</v>
      </c>
      <c r="E61" s="57">
        <v>0.1</v>
      </c>
      <c r="F61" s="57">
        <v>0.2</v>
      </c>
      <c r="G61" s="57">
        <v>0.2</v>
      </c>
      <c r="H61" s="57">
        <v>0.2</v>
      </c>
    </row>
    <row r="62" spans="1:10" hidden="1" outlineLevel="2" x14ac:dyDescent="0.3">
      <c r="A62" s="8"/>
      <c r="B62" s="6" t="s">
        <v>14</v>
      </c>
      <c r="D62" s="54">
        <v>30</v>
      </c>
      <c r="E62" s="54">
        <v>30</v>
      </c>
      <c r="F62" s="54">
        <v>30</v>
      </c>
      <c r="G62" s="54">
        <v>30</v>
      </c>
      <c r="H62" s="54">
        <v>30</v>
      </c>
    </row>
    <row r="63" spans="1:10" hidden="1" outlineLevel="2" x14ac:dyDescent="0.3">
      <c r="A63" s="8"/>
      <c r="B63" s="6" t="s">
        <v>13</v>
      </c>
      <c r="D63" s="54">
        <f>+D33</f>
        <v>120</v>
      </c>
      <c r="E63" s="54">
        <f t="shared" ref="E63:H63" si="3">+E33</f>
        <v>120</v>
      </c>
      <c r="F63" s="54">
        <f t="shared" si="3"/>
        <v>120</v>
      </c>
      <c r="G63" s="54">
        <f t="shared" si="3"/>
        <v>120</v>
      </c>
      <c r="H63" s="54">
        <f t="shared" si="3"/>
        <v>120</v>
      </c>
      <c r="I63" s="13"/>
    </row>
    <row r="64" spans="1:10" hidden="1" outlineLevel="2" x14ac:dyDescent="0.3">
      <c r="B64" s="6" t="s">
        <v>49</v>
      </c>
      <c r="D64" s="54"/>
      <c r="E64" s="54"/>
      <c r="F64" s="54">
        <v>-45</v>
      </c>
      <c r="G64" s="54"/>
      <c r="H64" s="54"/>
    </row>
    <row r="65" spans="1:9" hidden="1" outlineLevel="2" x14ac:dyDescent="0.3">
      <c r="B65" s="6" t="s">
        <v>18</v>
      </c>
      <c r="C65" s="57">
        <f>+C35</f>
        <v>0.38</v>
      </c>
      <c r="D65" s="57">
        <f t="shared" ref="D65:H65" si="4">+D35</f>
        <v>0.38</v>
      </c>
      <c r="E65" s="57">
        <f t="shared" si="4"/>
        <v>0.38</v>
      </c>
      <c r="F65" s="57">
        <f t="shared" si="4"/>
        <v>0.38</v>
      </c>
      <c r="G65" s="57">
        <f t="shared" si="4"/>
        <v>0.38</v>
      </c>
      <c r="H65" s="57">
        <f t="shared" si="4"/>
        <v>0.38</v>
      </c>
    </row>
    <row r="66" spans="1:9" hidden="1" outlineLevel="2" x14ac:dyDescent="0.3">
      <c r="A66" s="9"/>
      <c r="B66" s="6" t="s">
        <v>68</v>
      </c>
      <c r="G66" s="19">
        <v>-30</v>
      </c>
      <c r="H66" s="19">
        <v>-30</v>
      </c>
    </row>
    <row r="67" spans="1:9" hidden="1" outlineLevel="1" collapsed="1" x14ac:dyDescent="0.3">
      <c r="A67" s="9"/>
    </row>
    <row r="68" spans="1:9" collapsed="1" x14ac:dyDescent="0.3">
      <c r="A68" s="8"/>
    </row>
    <row r="69" spans="1:9" s="8" customFormat="1" x14ac:dyDescent="0.3">
      <c r="A69" s="8" t="s">
        <v>15</v>
      </c>
      <c r="B69" s="12" t="s">
        <v>17</v>
      </c>
      <c r="C69" s="56"/>
      <c r="D69" s="56"/>
      <c r="E69" s="56"/>
      <c r="F69" s="56"/>
      <c r="G69" s="56"/>
      <c r="H69" s="56"/>
      <c r="I69" s="21"/>
    </row>
    <row r="70" spans="1:9" ht="15.5" outlineLevel="1" x14ac:dyDescent="0.35">
      <c r="B70" s="1"/>
      <c r="C70" s="2"/>
      <c r="D70" s="2"/>
      <c r="E70" s="2"/>
      <c r="F70" s="2"/>
      <c r="G70" s="2"/>
      <c r="H70" s="2"/>
    </row>
    <row r="71" spans="1:9" outlineLevel="1" x14ac:dyDescent="0.3">
      <c r="A71" s="8"/>
      <c r="B71" s="6" t="s">
        <v>2</v>
      </c>
      <c r="C71" s="59">
        <v>5000</v>
      </c>
      <c r="D71" s="60">
        <f t="shared" ref="D71:H72" si="5">+C71*(1+D9)</f>
        <v>5700.0000000000009</v>
      </c>
      <c r="E71" s="60">
        <f t="shared" si="5"/>
        <v>6498.0000000000018</v>
      </c>
      <c r="F71" s="60">
        <f t="shared" si="5"/>
        <v>7407.720000000003</v>
      </c>
      <c r="G71" s="60">
        <f t="shared" si="5"/>
        <v>7333.6428000000033</v>
      </c>
      <c r="H71" s="60">
        <f t="shared" si="5"/>
        <v>7920.3342240000038</v>
      </c>
    </row>
    <row r="72" spans="1:9" outlineLevel="1" x14ac:dyDescent="0.3">
      <c r="B72" s="6" t="s">
        <v>45</v>
      </c>
      <c r="C72" s="59">
        <v>60</v>
      </c>
      <c r="D72" s="60">
        <f t="shared" si="5"/>
        <v>64.800000000000011</v>
      </c>
      <c r="E72" s="60">
        <f t="shared" si="5"/>
        <v>69.984000000000023</v>
      </c>
      <c r="F72" s="60">
        <f t="shared" si="5"/>
        <v>75.582720000000023</v>
      </c>
      <c r="G72" s="60">
        <f t="shared" si="5"/>
        <v>79.361856000000031</v>
      </c>
      <c r="H72" s="60">
        <f t="shared" si="5"/>
        <v>83.329948800000039</v>
      </c>
    </row>
    <row r="73" spans="1:9" outlineLevel="1" x14ac:dyDescent="0.3">
      <c r="B73" s="9" t="s">
        <v>20</v>
      </c>
      <c r="C73" s="61">
        <f>SUM(C71:C72)</f>
        <v>5060</v>
      </c>
      <c r="D73" s="62">
        <f>SUM(D71:D72)</f>
        <v>5764.8000000000011</v>
      </c>
      <c r="E73" s="62">
        <f t="shared" ref="E73:F73" si="6">SUM(E71:E72)</f>
        <v>6567.9840000000022</v>
      </c>
      <c r="F73" s="62">
        <f t="shared" si="6"/>
        <v>7483.3027200000033</v>
      </c>
      <c r="G73" s="62">
        <f t="shared" ref="G73:H73" si="7">SUM(G71:G72)</f>
        <v>7413.0046560000037</v>
      </c>
      <c r="H73" s="62">
        <f t="shared" si="7"/>
        <v>8003.6641728000041</v>
      </c>
    </row>
    <row r="74" spans="1:9" outlineLevel="1" x14ac:dyDescent="0.3">
      <c r="B74" s="6" t="s">
        <v>3</v>
      </c>
      <c r="C74" s="59">
        <v>1400</v>
      </c>
      <c r="D74" s="60">
        <f>+C74*(1+D11)</f>
        <v>1568.0000000000002</v>
      </c>
      <c r="E74" s="60">
        <f>+D74*(1+E11)</f>
        <v>1740.4800000000005</v>
      </c>
      <c r="F74" s="60">
        <f>+E74*(1+F11)</f>
        <v>1914.5280000000007</v>
      </c>
      <c r="G74" s="60">
        <f>+F74*(1+G11)</f>
        <v>1857.0921600000006</v>
      </c>
      <c r="H74" s="60">
        <f>+G74*(1+H11)</f>
        <v>1949.9467680000007</v>
      </c>
    </row>
    <row r="75" spans="1:9" s="9" customFormat="1" outlineLevel="1" x14ac:dyDescent="0.3">
      <c r="A75" s="6"/>
      <c r="B75" s="23" t="s">
        <v>25</v>
      </c>
      <c r="C75" s="63">
        <f>+C73-C74</f>
        <v>3660</v>
      </c>
      <c r="D75" s="64">
        <f>+D73-D74</f>
        <v>4196.8000000000011</v>
      </c>
      <c r="E75" s="64">
        <f t="shared" ref="E75:F75" si="8">+E73-E74</f>
        <v>4827.5040000000017</v>
      </c>
      <c r="F75" s="64">
        <f t="shared" si="8"/>
        <v>5568.7747200000031</v>
      </c>
      <c r="G75" s="64">
        <f t="shared" ref="G75:H75" si="9">+G73-G74</f>
        <v>5555.9124960000026</v>
      </c>
      <c r="H75" s="64">
        <f t="shared" si="9"/>
        <v>6053.7174048000034</v>
      </c>
    </row>
    <row r="76" spans="1:9" outlineLevel="1" x14ac:dyDescent="0.3">
      <c r="B76" s="24" t="s">
        <v>94</v>
      </c>
      <c r="C76" s="25">
        <f>+C75/$C$73</f>
        <v>0.72332015810276684</v>
      </c>
      <c r="D76" s="26">
        <f>+D75/$D$73</f>
        <v>0.72800444074382464</v>
      </c>
      <c r="E76" s="26">
        <f>+E75/$E$73</f>
        <v>0.73500544459304407</v>
      </c>
      <c r="F76" s="26">
        <f>+F75/$F$73</f>
        <v>0.74416002243458634</v>
      </c>
      <c r="G76" s="26">
        <f>+G75/$G$73</f>
        <v>0.74948185706360093</v>
      </c>
      <c r="H76" s="26">
        <f>+H75/$H$73</f>
        <v>0.75636824260733182</v>
      </c>
    </row>
    <row r="77" spans="1:9" outlineLevel="1" x14ac:dyDescent="0.3">
      <c r="B77" s="6" t="s">
        <v>4</v>
      </c>
      <c r="C77" s="59"/>
      <c r="D77" s="60"/>
      <c r="E77" s="60"/>
      <c r="F77" s="60"/>
      <c r="G77" s="60"/>
      <c r="H77" s="60"/>
    </row>
    <row r="78" spans="1:9" outlineLevel="1" x14ac:dyDescent="0.3">
      <c r="B78" s="6" t="s">
        <v>5</v>
      </c>
      <c r="C78" s="59">
        <v>2000</v>
      </c>
      <c r="D78" s="60">
        <f t="shared" ref="D78:H80" si="10">+C78*(1+D12)</f>
        <v>2140</v>
      </c>
      <c r="E78" s="60">
        <f t="shared" si="10"/>
        <v>2289.8000000000002</v>
      </c>
      <c r="F78" s="60">
        <f t="shared" si="10"/>
        <v>2450.0860000000002</v>
      </c>
      <c r="G78" s="60">
        <f t="shared" si="10"/>
        <v>2523.5885800000001</v>
      </c>
      <c r="H78" s="60">
        <f t="shared" si="10"/>
        <v>2599.2962374000003</v>
      </c>
    </row>
    <row r="79" spans="1:9" s="9" customFormat="1" outlineLevel="1" x14ac:dyDescent="0.3">
      <c r="A79" s="6"/>
      <c r="B79" s="6" t="s">
        <v>6</v>
      </c>
      <c r="C79" s="59">
        <v>500</v>
      </c>
      <c r="D79" s="60">
        <f t="shared" si="10"/>
        <v>522.5</v>
      </c>
      <c r="E79" s="60">
        <f t="shared" si="10"/>
        <v>546.01249999999993</v>
      </c>
      <c r="F79" s="60">
        <f t="shared" si="10"/>
        <v>570.58306249999987</v>
      </c>
      <c r="G79" s="60">
        <f t="shared" si="10"/>
        <v>596.25930031249982</v>
      </c>
      <c r="H79" s="60">
        <f t="shared" si="10"/>
        <v>623.09096882656229</v>
      </c>
    </row>
    <row r="80" spans="1:9" s="8" customFormat="1" outlineLevel="1" x14ac:dyDescent="0.3">
      <c r="A80" s="6"/>
      <c r="B80" s="6" t="s">
        <v>7</v>
      </c>
      <c r="C80" s="59">
        <v>125</v>
      </c>
      <c r="D80" s="60">
        <f t="shared" si="10"/>
        <v>131.25</v>
      </c>
      <c r="E80" s="60">
        <f t="shared" si="10"/>
        <v>137.8125</v>
      </c>
      <c r="F80" s="60">
        <f t="shared" si="10"/>
        <v>144.703125</v>
      </c>
      <c r="G80" s="60">
        <f t="shared" si="10"/>
        <v>151.93828125000002</v>
      </c>
      <c r="H80" s="60">
        <f t="shared" si="10"/>
        <v>159.53519531250004</v>
      </c>
    </row>
    <row r="81" spans="1:15" s="15" customFormat="1" outlineLevel="1" x14ac:dyDescent="0.3">
      <c r="A81" s="6"/>
      <c r="B81" s="9" t="s">
        <v>8</v>
      </c>
      <c r="C81" s="61">
        <f>SUM(C78:C80)</f>
        <v>2625</v>
      </c>
      <c r="D81" s="62">
        <f>SUM(D78:D80)</f>
        <v>2793.75</v>
      </c>
      <c r="E81" s="62">
        <f t="shared" ref="E81:F81" si="11">SUM(E78:E80)</f>
        <v>2973.625</v>
      </c>
      <c r="F81" s="62">
        <f t="shared" si="11"/>
        <v>3165.3721875000001</v>
      </c>
      <c r="G81" s="62">
        <f t="shared" ref="G81:H81" si="12">SUM(G78:G80)</f>
        <v>3271.7861615624997</v>
      </c>
      <c r="H81" s="62">
        <f t="shared" si="12"/>
        <v>3381.9224015390628</v>
      </c>
    </row>
    <row r="82" spans="1:15" outlineLevel="1" x14ac:dyDescent="0.3">
      <c r="B82" s="23" t="s">
        <v>21</v>
      </c>
      <c r="C82" s="63">
        <f>+C75-C81</f>
        <v>1035</v>
      </c>
      <c r="D82" s="64">
        <f>+D75-D81</f>
        <v>1403.0500000000011</v>
      </c>
      <c r="E82" s="64">
        <f t="shared" ref="E82:F82" si="13">+E75-E81</f>
        <v>1853.8790000000017</v>
      </c>
      <c r="F82" s="64">
        <f t="shared" si="13"/>
        <v>2403.402532500003</v>
      </c>
      <c r="G82" s="64">
        <f t="shared" ref="G82:H82" si="14">+G75-G81</f>
        <v>2284.1263344375029</v>
      </c>
      <c r="H82" s="64">
        <f t="shared" si="14"/>
        <v>2671.7950032609406</v>
      </c>
    </row>
    <row r="83" spans="1:15" outlineLevel="1" x14ac:dyDescent="0.3">
      <c r="A83" s="8"/>
      <c r="B83" s="24" t="s">
        <v>93</v>
      </c>
      <c r="C83" s="25">
        <f>+C82/C73</f>
        <v>0.20454545454545456</v>
      </c>
      <c r="D83" s="26">
        <f t="shared" ref="D83:H83" si="15">+D82/D73</f>
        <v>0.24338225090202623</v>
      </c>
      <c r="E83" s="26">
        <f t="shared" si="15"/>
        <v>0.28225997505475059</v>
      </c>
      <c r="F83" s="26">
        <f t="shared" si="15"/>
        <v>0.32116869013953264</v>
      </c>
      <c r="G83" s="26">
        <f t="shared" si="15"/>
        <v>0.30812422768259784</v>
      </c>
      <c r="H83" s="26">
        <f t="shared" si="15"/>
        <v>0.3338214779601677</v>
      </c>
    </row>
    <row r="84" spans="1:15" outlineLevel="1" x14ac:dyDescent="0.3">
      <c r="B84" s="6" t="s">
        <v>9</v>
      </c>
      <c r="C84" s="59"/>
      <c r="D84" s="60"/>
      <c r="E84" s="60"/>
      <c r="F84" s="60"/>
      <c r="G84" s="60"/>
      <c r="H84" s="60"/>
    </row>
    <row r="85" spans="1:15" outlineLevel="1" x14ac:dyDescent="0.3">
      <c r="B85" s="6" t="s">
        <v>10</v>
      </c>
      <c r="C85" s="59">
        <v>350</v>
      </c>
      <c r="D85" s="60">
        <f t="shared" ref="D85:H86" si="16">+C85*(1+D15)</f>
        <v>385.00000000000006</v>
      </c>
      <c r="E85" s="60">
        <f t="shared" si="16"/>
        <v>423.50000000000011</v>
      </c>
      <c r="F85" s="60">
        <f t="shared" si="16"/>
        <v>508.2000000000001</v>
      </c>
      <c r="G85" s="60">
        <f t="shared" si="16"/>
        <v>609.84000000000015</v>
      </c>
      <c r="H85" s="60">
        <f t="shared" si="16"/>
        <v>731.80800000000011</v>
      </c>
      <c r="J85" s="13"/>
    </row>
    <row r="86" spans="1:15" outlineLevel="1" x14ac:dyDescent="0.3">
      <c r="B86" s="6" t="s">
        <v>11</v>
      </c>
      <c r="C86" s="59">
        <v>30</v>
      </c>
      <c r="D86" s="60">
        <f t="shared" si="16"/>
        <v>33</v>
      </c>
      <c r="E86" s="60">
        <f t="shared" si="16"/>
        <v>36.300000000000004</v>
      </c>
      <c r="F86" s="60">
        <f t="shared" si="16"/>
        <v>43.56</v>
      </c>
      <c r="G86" s="60">
        <f t="shared" si="16"/>
        <v>52.271999999999998</v>
      </c>
      <c r="H86" s="60">
        <f t="shared" si="16"/>
        <v>62.726399999999998</v>
      </c>
      <c r="K86" s="13"/>
    </row>
    <row r="87" spans="1:15" outlineLevel="1" x14ac:dyDescent="0.3">
      <c r="B87" s="9" t="s">
        <v>12</v>
      </c>
      <c r="C87" s="61">
        <f>SUM(C85:C86)</f>
        <v>380</v>
      </c>
      <c r="D87" s="62">
        <f>SUM(D85:D86)</f>
        <v>418.00000000000006</v>
      </c>
      <c r="E87" s="62">
        <f t="shared" ref="E87:F87" si="17">SUM(E85:E86)</f>
        <v>459.80000000000013</v>
      </c>
      <c r="F87" s="62">
        <f t="shared" si="17"/>
        <v>551.7600000000001</v>
      </c>
      <c r="G87" s="62">
        <f t="shared" ref="G87:H87" si="18">SUM(G85:G86)</f>
        <v>662.11200000000019</v>
      </c>
      <c r="H87" s="62">
        <f t="shared" si="18"/>
        <v>794.53440000000012</v>
      </c>
    </row>
    <row r="88" spans="1:15" s="8" customFormat="1" outlineLevel="1" x14ac:dyDescent="0.3">
      <c r="A88" s="6"/>
      <c r="B88" s="23" t="s">
        <v>22</v>
      </c>
      <c r="C88" s="63">
        <f>+C82-C87</f>
        <v>655</v>
      </c>
      <c r="D88" s="64">
        <f>+D82-D87</f>
        <v>985.05000000000109</v>
      </c>
      <c r="E88" s="64">
        <f t="shared" ref="E88:F88" si="19">+E82-E87</f>
        <v>1394.0790000000015</v>
      </c>
      <c r="F88" s="64">
        <f t="shared" si="19"/>
        <v>1851.6425325000027</v>
      </c>
      <c r="G88" s="64">
        <f t="shared" ref="G88:H88" si="20">+G82-G87</f>
        <v>1622.0143344375028</v>
      </c>
      <c r="H88" s="64">
        <f t="shared" si="20"/>
        <v>1877.2606032609406</v>
      </c>
    </row>
    <row r="89" spans="1:15" outlineLevel="1" x14ac:dyDescent="0.3">
      <c r="A89" s="9"/>
      <c r="B89" s="24" t="s">
        <v>92</v>
      </c>
      <c r="C89" s="25">
        <f>+C88/C73</f>
        <v>0.12944664031620554</v>
      </c>
      <c r="D89" s="26">
        <f t="shared" ref="D89:H89" si="21">+D88/D73</f>
        <v>0.17087323064113255</v>
      </c>
      <c r="E89" s="26">
        <f t="shared" si="21"/>
        <v>0.2122537143817648</v>
      </c>
      <c r="F89" s="26">
        <f t="shared" si="21"/>
        <v>0.24743653995865636</v>
      </c>
      <c r="G89" s="26">
        <f t="shared" si="21"/>
        <v>0.21880659863401844</v>
      </c>
      <c r="H89" s="26">
        <f t="shared" si="21"/>
        <v>0.23455014637429486</v>
      </c>
    </row>
    <row r="90" spans="1:15" outlineLevel="1" x14ac:dyDescent="0.3">
      <c r="B90" s="6" t="s">
        <v>14</v>
      </c>
      <c r="C90" s="59">
        <v>20</v>
      </c>
      <c r="D90" s="60">
        <f t="shared" ref="D90:H91" si="22">+D17</f>
        <v>30</v>
      </c>
      <c r="E90" s="60">
        <f t="shared" si="22"/>
        <v>30</v>
      </c>
      <c r="F90" s="60">
        <f t="shared" si="22"/>
        <v>30</v>
      </c>
      <c r="G90" s="60">
        <f t="shared" si="22"/>
        <v>30</v>
      </c>
      <c r="H90" s="60">
        <f t="shared" si="22"/>
        <v>30</v>
      </c>
    </row>
    <row r="91" spans="1:15" outlineLevel="1" x14ac:dyDescent="0.3">
      <c r="B91" s="6" t="s">
        <v>13</v>
      </c>
      <c r="C91" s="59">
        <v>70</v>
      </c>
      <c r="D91" s="60">
        <f t="shared" si="22"/>
        <v>120</v>
      </c>
      <c r="E91" s="60">
        <f t="shared" si="22"/>
        <v>120</v>
      </c>
      <c r="F91" s="60">
        <f t="shared" si="22"/>
        <v>120</v>
      </c>
      <c r="G91" s="60">
        <f t="shared" si="22"/>
        <v>120</v>
      </c>
      <c r="H91" s="60">
        <f t="shared" si="22"/>
        <v>120</v>
      </c>
    </row>
    <row r="92" spans="1:15" outlineLevel="1" x14ac:dyDescent="0.3">
      <c r="B92" s="9" t="s">
        <v>24</v>
      </c>
      <c r="C92" s="61">
        <f>+C90-C91</f>
        <v>-50</v>
      </c>
      <c r="D92" s="62">
        <f>+D90-D91</f>
        <v>-90</v>
      </c>
      <c r="E92" s="62">
        <f t="shared" ref="E92:F92" si="23">+E90-E91</f>
        <v>-90</v>
      </c>
      <c r="F92" s="62">
        <f t="shared" si="23"/>
        <v>-90</v>
      </c>
      <c r="G92" s="62">
        <f t="shared" ref="G92:H92" si="24">+G90-G91</f>
        <v>-90</v>
      </c>
      <c r="H92" s="62">
        <f t="shared" si="24"/>
        <v>-90</v>
      </c>
    </row>
    <row r="93" spans="1:15" s="8" customFormat="1" outlineLevel="1" x14ac:dyDescent="0.3">
      <c r="A93" s="9"/>
      <c r="B93" s="9" t="s">
        <v>50</v>
      </c>
      <c r="C93" s="61"/>
      <c r="D93" s="62">
        <f>+D19</f>
        <v>0</v>
      </c>
      <c r="E93" s="62">
        <f>+E19</f>
        <v>0</v>
      </c>
      <c r="F93" s="62">
        <f>+F19</f>
        <v>-45</v>
      </c>
      <c r="G93" s="62">
        <f>+G19</f>
        <v>0</v>
      </c>
      <c r="H93" s="62">
        <f>+H19</f>
        <v>0</v>
      </c>
    </row>
    <row r="94" spans="1:15" outlineLevel="1" x14ac:dyDescent="0.3">
      <c r="A94" s="8"/>
      <c r="B94" s="23" t="s">
        <v>23</v>
      </c>
      <c r="C94" s="63">
        <f t="shared" ref="C94:E94" si="25">+C88+C92+C93</f>
        <v>605</v>
      </c>
      <c r="D94" s="64">
        <f t="shared" si="25"/>
        <v>895.05000000000109</v>
      </c>
      <c r="E94" s="64">
        <f t="shared" si="25"/>
        <v>1304.0790000000015</v>
      </c>
      <c r="F94" s="64">
        <f>+F88+F92+F93</f>
        <v>1716.6425325000027</v>
      </c>
      <c r="G94" s="64">
        <f t="shared" ref="G94:H94" si="26">+G88+G92+G93</f>
        <v>1532.0143344375028</v>
      </c>
      <c r="H94" s="64">
        <f t="shared" si="26"/>
        <v>1787.2606032609406</v>
      </c>
    </row>
    <row r="95" spans="1:15" s="8" customFormat="1" outlineLevel="1" x14ac:dyDescent="0.3">
      <c r="A95" s="15"/>
      <c r="B95" s="24" t="s">
        <v>91</v>
      </c>
      <c r="C95" s="25">
        <f>+C94/C73</f>
        <v>0.11956521739130435</v>
      </c>
      <c r="D95" s="26">
        <f t="shared" ref="D95:H95" si="27">+D94/D73</f>
        <v>0.15526124063280616</v>
      </c>
      <c r="E95" s="26">
        <f t="shared" si="27"/>
        <v>0.1985508795392926</v>
      </c>
      <c r="F95" s="26">
        <f t="shared" si="27"/>
        <v>0.22939637707186086</v>
      </c>
      <c r="G95" s="26">
        <f t="shared" si="27"/>
        <v>0.20666577258892013</v>
      </c>
      <c r="H95" s="26">
        <f t="shared" si="27"/>
        <v>0.22330529675830774</v>
      </c>
    </row>
    <row r="96" spans="1:15" s="17" customFormat="1" outlineLevel="1" x14ac:dyDescent="0.3">
      <c r="A96" s="6"/>
      <c r="B96" s="6" t="s">
        <v>18</v>
      </c>
      <c r="C96" s="59">
        <f t="shared" ref="C96:H96" si="28">+C94*C20</f>
        <v>229.9</v>
      </c>
      <c r="D96" s="60">
        <f t="shared" si="28"/>
        <v>340.11900000000043</v>
      </c>
      <c r="E96" s="60">
        <f t="shared" si="28"/>
        <v>495.55002000000059</v>
      </c>
      <c r="F96" s="60">
        <f t="shared" si="28"/>
        <v>652.32416235000107</v>
      </c>
      <c r="G96" s="60">
        <f t="shared" si="28"/>
        <v>582.16544708625111</v>
      </c>
      <c r="H96" s="60">
        <f t="shared" si="28"/>
        <v>679.15902923915746</v>
      </c>
      <c r="J96" s="10"/>
      <c r="K96" s="10"/>
      <c r="L96" s="10"/>
      <c r="M96" s="10"/>
      <c r="N96" s="10"/>
      <c r="O96" s="10"/>
    </row>
    <row r="97" spans="1:15" s="8" customFormat="1" outlineLevel="1" x14ac:dyDescent="0.3">
      <c r="A97" s="6"/>
      <c r="B97" s="23" t="s">
        <v>19</v>
      </c>
      <c r="C97" s="63">
        <f>+C94-C96</f>
        <v>375.1</v>
      </c>
      <c r="D97" s="64">
        <f>+D94-D96</f>
        <v>554.93100000000072</v>
      </c>
      <c r="E97" s="64">
        <f t="shared" ref="E97:F97" si="29">+E94-E96</f>
        <v>808.52898000000096</v>
      </c>
      <c r="F97" s="64">
        <f t="shared" si="29"/>
        <v>1064.3183701500016</v>
      </c>
      <c r="G97" s="64">
        <f t="shared" ref="G97:H97" si="30">+G94-G96</f>
        <v>949.84888735125173</v>
      </c>
      <c r="H97" s="64">
        <f t="shared" si="30"/>
        <v>1108.1015740217831</v>
      </c>
      <c r="I97" s="87"/>
    </row>
    <row r="98" spans="1:15" s="8" customFormat="1" outlineLevel="1" x14ac:dyDescent="0.3">
      <c r="A98" s="6"/>
      <c r="B98" s="24" t="s">
        <v>83</v>
      </c>
      <c r="C98" s="25">
        <f>+C97/$C$73</f>
        <v>7.4130434782608695E-2</v>
      </c>
      <c r="D98" s="26">
        <f>+D97/D73</f>
        <v>9.6261969192339827E-2</v>
      </c>
      <c r="E98" s="26">
        <f t="shared" ref="E98:H98" si="31">+E97/E73</f>
        <v>0.1231015453143614</v>
      </c>
      <c r="F98" s="26">
        <f t="shared" si="31"/>
        <v>0.14222575378455371</v>
      </c>
      <c r="G98" s="26">
        <f t="shared" si="31"/>
        <v>0.12813277900513048</v>
      </c>
      <c r="H98" s="26">
        <f t="shared" si="31"/>
        <v>0.1384492839901508</v>
      </c>
      <c r="J98" s="124"/>
      <c r="K98" s="124"/>
      <c r="L98" s="124"/>
      <c r="M98" s="124"/>
      <c r="N98" s="124"/>
      <c r="O98" s="124"/>
    </row>
    <row r="99" spans="1:15" x14ac:dyDescent="0.3">
      <c r="C99" s="65"/>
      <c r="D99" s="65"/>
      <c r="E99" s="65"/>
      <c r="F99" s="65"/>
      <c r="G99" s="65"/>
      <c r="H99" s="65"/>
    </row>
    <row r="100" spans="1:15" s="8" customFormat="1" x14ac:dyDescent="0.3">
      <c r="A100" s="6" t="s">
        <v>15</v>
      </c>
      <c r="B100" s="12" t="s">
        <v>26</v>
      </c>
      <c r="C100" s="56"/>
      <c r="D100" s="56"/>
      <c r="E100" s="56"/>
      <c r="F100" s="56"/>
      <c r="G100" s="56"/>
      <c r="H100" s="56"/>
    </row>
    <row r="101" spans="1:15" outlineLevel="1" x14ac:dyDescent="0.3">
      <c r="C101" s="65"/>
      <c r="D101" s="65"/>
      <c r="E101" s="65"/>
      <c r="F101" s="65"/>
      <c r="G101" s="65"/>
      <c r="H101" s="65"/>
    </row>
    <row r="102" spans="1:15" s="8" customFormat="1" outlineLevel="1" x14ac:dyDescent="0.3">
      <c r="B102" s="8" t="s">
        <v>41</v>
      </c>
      <c r="C102" s="65"/>
      <c r="D102" s="65"/>
      <c r="E102" s="65"/>
      <c r="F102" s="65"/>
      <c r="G102" s="65"/>
      <c r="H102" s="65"/>
    </row>
    <row r="103" spans="1:15" s="8" customFormat="1" outlineLevel="1" x14ac:dyDescent="0.3">
      <c r="A103" s="6"/>
      <c r="B103" s="6" t="s">
        <v>27</v>
      </c>
      <c r="C103" s="66">
        <v>250</v>
      </c>
      <c r="D103" s="67">
        <f>+C103+D141</f>
        <v>-930.81899999999928</v>
      </c>
      <c r="E103" s="67">
        <f>+D103+E141</f>
        <v>-2998.1775199999984</v>
      </c>
      <c r="F103" s="67">
        <f>+E103+F141</f>
        <v>-3045.5960248499973</v>
      </c>
      <c r="G103" s="67">
        <f>+F103+G141</f>
        <v>-1211.6968562487452</v>
      </c>
      <c r="H103" s="67">
        <f>+G103+H141</f>
        <v>670.47431308553791</v>
      </c>
      <c r="J103" s="86"/>
    </row>
    <row r="104" spans="1:15" s="8" customFormat="1" outlineLevel="1" x14ac:dyDescent="0.3">
      <c r="A104" s="6"/>
      <c r="B104" s="6" t="s">
        <v>28</v>
      </c>
      <c r="C104" s="66">
        <v>1250</v>
      </c>
      <c r="D104" s="67">
        <v>2000</v>
      </c>
      <c r="E104" s="67">
        <v>2400</v>
      </c>
      <c r="F104" s="67">
        <v>2750</v>
      </c>
      <c r="G104" s="67">
        <v>3000</v>
      </c>
      <c r="H104" s="67">
        <v>3150</v>
      </c>
      <c r="J104" s="13"/>
    </row>
    <row r="105" spans="1:15" outlineLevel="1" x14ac:dyDescent="0.3">
      <c r="B105" s="6" t="s">
        <v>29</v>
      </c>
      <c r="C105" s="66">
        <v>500</v>
      </c>
      <c r="D105" s="67">
        <v>650</v>
      </c>
      <c r="E105" s="67">
        <v>800</v>
      </c>
      <c r="F105" s="67">
        <v>950</v>
      </c>
      <c r="G105" s="67">
        <v>1100</v>
      </c>
      <c r="H105" s="67">
        <v>1100</v>
      </c>
      <c r="J105" s="17"/>
    </row>
    <row r="106" spans="1:15" outlineLevel="1" x14ac:dyDescent="0.3">
      <c r="B106" s="6" t="s">
        <v>39</v>
      </c>
      <c r="C106" s="66">
        <v>1400</v>
      </c>
      <c r="D106" s="67">
        <v>2800</v>
      </c>
      <c r="E106" s="67">
        <v>5500</v>
      </c>
      <c r="F106" s="67">
        <v>6500</v>
      </c>
      <c r="G106" s="67">
        <v>5890</v>
      </c>
      <c r="H106" s="85">
        <v>5158.3519999999999</v>
      </c>
    </row>
    <row r="107" spans="1:15" outlineLevel="1" x14ac:dyDescent="0.3">
      <c r="A107" s="8"/>
      <c r="B107" s="6" t="s">
        <v>40</v>
      </c>
      <c r="C107" s="66">
        <v>228</v>
      </c>
      <c r="D107" s="67">
        <v>195</v>
      </c>
      <c r="E107" s="67">
        <v>158.69999999999999</v>
      </c>
      <c r="F107" s="67">
        <v>115.13999999999999</v>
      </c>
      <c r="G107" s="67">
        <v>63</v>
      </c>
      <c r="H107" s="67">
        <v>0</v>
      </c>
      <c r="K107" s="13"/>
    </row>
    <row r="108" spans="1:15" outlineLevel="1" x14ac:dyDescent="0.3">
      <c r="B108" s="6" t="s">
        <v>30</v>
      </c>
      <c r="C108" s="66">
        <v>100</v>
      </c>
      <c r="D108" s="67">
        <v>100</v>
      </c>
      <c r="E108" s="67">
        <v>100</v>
      </c>
      <c r="F108" s="67">
        <v>100</v>
      </c>
      <c r="G108" s="67">
        <v>100</v>
      </c>
      <c r="H108" s="67">
        <v>100</v>
      </c>
      <c r="J108" s="13"/>
      <c r="K108" s="13"/>
    </row>
    <row r="109" spans="1:15" outlineLevel="1" x14ac:dyDescent="0.3">
      <c r="A109" s="8"/>
      <c r="B109" s="14" t="s">
        <v>31</v>
      </c>
      <c r="C109" s="68">
        <f t="shared" ref="C109:F109" si="32">SUM(C103:C108)</f>
        <v>3728</v>
      </c>
      <c r="D109" s="69">
        <f t="shared" si="32"/>
        <v>4814.1810000000005</v>
      </c>
      <c r="E109" s="69">
        <f t="shared" si="32"/>
        <v>5960.5224800000015</v>
      </c>
      <c r="F109" s="69">
        <f t="shared" si="32"/>
        <v>7369.5439751500026</v>
      </c>
      <c r="G109" s="69">
        <f t="shared" ref="G109:H109" si="33">SUM(G103:G108)</f>
        <v>8941.3031437512545</v>
      </c>
      <c r="H109" s="69">
        <f t="shared" si="33"/>
        <v>10178.826313085538</v>
      </c>
      <c r="J109" s="13"/>
      <c r="K109" s="13"/>
      <c r="L109" s="13"/>
    </row>
    <row r="110" spans="1:15" outlineLevel="1" x14ac:dyDescent="0.3">
      <c r="A110" s="17"/>
      <c r="C110" s="66"/>
      <c r="D110" s="67"/>
      <c r="E110" s="67"/>
      <c r="F110" s="67"/>
      <c r="G110" s="67"/>
      <c r="H110" s="67"/>
    </row>
    <row r="111" spans="1:15" outlineLevel="1" x14ac:dyDescent="0.3">
      <c r="A111" s="8"/>
      <c r="B111" s="8" t="s">
        <v>38</v>
      </c>
      <c r="C111" s="66"/>
      <c r="D111" s="67"/>
      <c r="E111" s="67"/>
      <c r="F111" s="67"/>
      <c r="G111" s="67"/>
      <c r="H111" s="67"/>
      <c r="J111" s="13"/>
      <c r="K111" s="13"/>
      <c r="L111" s="13"/>
    </row>
    <row r="112" spans="1:15" outlineLevel="1" x14ac:dyDescent="0.3">
      <c r="A112" s="8"/>
      <c r="B112" s="6" t="s">
        <v>32</v>
      </c>
      <c r="C112" s="66">
        <v>1000</v>
      </c>
      <c r="D112" s="67">
        <v>1400</v>
      </c>
      <c r="E112" s="67">
        <v>1600</v>
      </c>
      <c r="F112" s="67">
        <v>1800</v>
      </c>
      <c r="G112" s="67">
        <v>2300</v>
      </c>
      <c r="H112" s="67">
        <v>2500</v>
      </c>
      <c r="I112" s="13"/>
      <c r="J112" s="13"/>
      <c r="K112" s="13"/>
    </row>
    <row r="113" spans="1:23" outlineLevel="1" x14ac:dyDescent="0.3">
      <c r="B113" s="6" t="s">
        <v>33</v>
      </c>
      <c r="C113" s="66">
        <v>200</v>
      </c>
      <c r="D113" s="67">
        <v>200</v>
      </c>
      <c r="E113" s="67">
        <v>200</v>
      </c>
      <c r="F113" s="67">
        <v>200</v>
      </c>
      <c r="G113" s="67">
        <v>200</v>
      </c>
      <c r="H113" s="67">
        <v>0</v>
      </c>
      <c r="I113" s="13"/>
      <c r="J113" s="13"/>
      <c r="K113" s="13"/>
      <c r="L113" s="13"/>
      <c r="M113" s="13"/>
      <c r="N113" s="13"/>
      <c r="O113" s="13"/>
    </row>
    <row r="114" spans="1:23" outlineLevel="1" x14ac:dyDescent="0.3">
      <c r="A114" s="8"/>
      <c r="B114" s="6" t="s">
        <v>34</v>
      </c>
      <c r="C114" s="66">
        <v>125</v>
      </c>
      <c r="D114" s="67">
        <f>+C114+D80-D153</f>
        <v>256.25</v>
      </c>
      <c r="E114" s="67">
        <f t="shared" ref="E114:F114" si="34">+D114+E80</f>
        <v>394.0625</v>
      </c>
      <c r="F114" s="67">
        <f t="shared" si="34"/>
        <v>538.765625</v>
      </c>
      <c r="G114" s="67">
        <v>661</v>
      </c>
      <c r="H114" s="67">
        <v>790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outlineLevel="1" x14ac:dyDescent="0.3">
      <c r="B115" s="9" t="s">
        <v>38</v>
      </c>
      <c r="C115" s="70">
        <f>SUM(C112:C114)</f>
        <v>1325</v>
      </c>
      <c r="D115" s="71">
        <f t="shared" ref="D115:F115" si="35">SUM(D112:D114)</f>
        <v>1856.25</v>
      </c>
      <c r="E115" s="71">
        <f t="shared" si="35"/>
        <v>2194.0625</v>
      </c>
      <c r="F115" s="71">
        <f t="shared" si="35"/>
        <v>2538.765625</v>
      </c>
      <c r="G115" s="71">
        <f t="shared" ref="G115:H115" si="36">SUM(G112:G114)</f>
        <v>3161</v>
      </c>
      <c r="H115" s="71">
        <f t="shared" si="36"/>
        <v>3290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23" outlineLevel="1" x14ac:dyDescent="0.3">
      <c r="A116" s="8"/>
      <c r="B116" s="6" t="s">
        <v>35</v>
      </c>
      <c r="C116" s="66">
        <v>1528</v>
      </c>
      <c r="D116" s="67">
        <v>1528</v>
      </c>
      <c r="E116" s="67">
        <v>1528</v>
      </c>
      <c r="F116" s="67">
        <v>1528</v>
      </c>
      <c r="G116" s="67">
        <v>1528</v>
      </c>
      <c r="H116" s="67">
        <v>1528</v>
      </c>
      <c r="J116" s="13"/>
      <c r="K116" s="13"/>
      <c r="L116" s="13"/>
      <c r="M116" s="13"/>
      <c r="N116" s="13"/>
      <c r="O116" s="13"/>
    </row>
    <row r="117" spans="1:23" outlineLevel="1" x14ac:dyDescent="0.3">
      <c r="A117" s="8"/>
      <c r="B117" s="6" t="s">
        <v>36</v>
      </c>
      <c r="C117" s="66">
        <v>500</v>
      </c>
      <c r="D117" s="67">
        <f>+C117+C97</f>
        <v>875.1</v>
      </c>
      <c r="E117" s="67">
        <f t="shared" ref="E117:F117" si="37">+D117+D97</f>
        <v>1430.0310000000009</v>
      </c>
      <c r="F117" s="67">
        <f t="shared" si="37"/>
        <v>2238.5599800000018</v>
      </c>
      <c r="G117" s="67">
        <f t="shared" ref="G117" si="38">+F117+F97</f>
        <v>3302.8783501500034</v>
      </c>
      <c r="H117" s="67">
        <f>+G117+G97</f>
        <v>4252.7272375012553</v>
      </c>
      <c r="I117" s="13"/>
      <c r="J117" s="13"/>
      <c r="K117" s="13"/>
      <c r="L117" s="13"/>
      <c r="M117" s="13"/>
      <c r="N117" s="13"/>
      <c r="O117" s="13"/>
    </row>
    <row r="118" spans="1:23" outlineLevel="1" x14ac:dyDescent="0.3">
      <c r="A118" s="8"/>
      <c r="B118" s="6" t="s">
        <v>37</v>
      </c>
      <c r="C118" s="66">
        <f t="shared" ref="C118:F118" si="39">+C97</f>
        <v>375.1</v>
      </c>
      <c r="D118" s="67">
        <f t="shared" si="39"/>
        <v>554.93100000000072</v>
      </c>
      <c r="E118" s="67">
        <f t="shared" si="39"/>
        <v>808.52898000000096</v>
      </c>
      <c r="F118" s="67">
        <f t="shared" si="39"/>
        <v>1064.3183701500016</v>
      </c>
      <c r="G118" s="67">
        <f t="shared" ref="G118:H118" si="40">+G97</f>
        <v>949.84888735125173</v>
      </c>
      <c r="H118" s="67">
        <f t="shared" si="40"/>
        <v>1108.1015740217831</v>
      </c>
      <c r="K118" s="13"/>
      <c r="L118" s="13"/>
      <c r="N118" s="13"/>
      <c r="Q118" s="13"/>
      <c r="R118" s="13"/>
      <c r="S118" s="13"/>
      <c r="T118" s="13"/>
      <c r="U118" s="13"/>
      <c r="V118" s="13"/>
    </row>
    <row r="119" spans="1:23" outlineLevel="1" x14ac:dyDescent="0.3">
      <c r="B119" s="9" t="s">
        <v>42</v>
      </c>
      <c r="C119" s="70">
        <f>SUM(C116:C118)</f>
        <v>2403.1</v>
      </c>
      <c r="D119" s="71">
        <f t="shared" ref="D119:F119" si="41">SUM(D116:D118)</f>
        <v>2958.0310000000009</v>
      </c>
      <c r="E119" s="71">
        <f t="shared" si="41"/>
        <v>3766.5599800000018</v>
      </c>
      <c r="F119" s="71">
        <f t="shared" si="41"/>
        <v>4830.8783501500038</v>
      </c>
      <c r="G119" s="71">
        <f t="shared" ref="G119:H119" si="42">SUM(G116:G118)</f>
        <v>5780.7272375012553</v>
      </c>
      <c r="H119" s="71">
        <f t="shared" si="42"/>
        <v>6888.8288115230389</v>
      </c>
      <c r="I119" s="13"/>
      <c r="J119" s="13"/>
      <c r="K119" s="13"/>
      <c r="L119" s="13"/>
      <c r="M119" s="13"/>
      <c r="N119" s="13"/>
      <c r="O119" s="13"/>
      <c r="Q119" s="13"/>
      <c r="R119" s="13"/>
      <c r="S119" s="13"/>
      <c r="T119" s="13"/>
      <c r="U119" s="13"/>
      <c r="V119" s="13"/>
    </row>
    <row r="120" spans="1:23" outlineLevel="1" x14ac:dyDescent="0.3">
      <c r="B120" s="14" t="s">
        <v>43</v>
      </c>
      <c r="C120" s="68">
        <f>+C115+C119</f>
        <v>3728.1</v>
      </c>
      <c r="D120" s="69">
        <f t="shared" ref="D120:F120" si="43">+D115+D119</f>
        <v>4814.2810000000009</v>
      </c>
      <c r="E120" s="69">
        <f t="shared" si="43"/>
        <v>5960.6224800000018</v>
      </c>
      <c r="F120" s="69">
        <f t="shared" si="43"/>
        <v>7369.6439751500038</v>
      </c>
      <c r="G120" s="69">
        <f t="shared" ref="G120:H120" si="44">+G115+G119</f>
        <v>8941.7272375012544</v>
      </c>
      <c r="H120" s="69">
        <f t="shared" si="44"/>
        <v>10178.828811523039</v>
      </c>
      <c r="J120" s="13"/>
      <c r="K120" s="13"/>
      <c r="L120" s="13"/>
      <c r="M120" s="13"/>
      <c r="N120" s="13"/>
      <c r="O120" s="13"/>
      <c r="Q120" s="13"/>
      <c r="R120" s="13"/>
      <c r="S120" s="13"/>
      <c r="T120" s="13"/>
      <c r="U120" s="13"/>
      <c r="V120" s="13"/>
    </row>
    <row r="121" spans="1:23" outlineLevel="1" x14ac:dyDescent="0.3">
      <c r="B121" s="16" t="s">
        <v>44</v>
      </c>
      <c r="C121" s="16" t="b">
        <f>+ABS(C109-C120)&lt;1</f>
        <v>1</v>
      </c>
      <c r="D121" s="72" t="b">
        <f t="shared" ref="D121:F121" si="45">+ABS(D109-D120)&lt;1</f>
        <v>1</v>
      </c>
      <c r="E121" s="72" t="b">
        <f t="shared" si="45"/>
        <v>1</v>
      </c>
      <c r="F121" s="72" t="b">
        <f t="shared" si="45"/>
        <v>1</v>
      </c>
      <c r="G121" s="72" t="b">
        <f t="shared" ref="G121:H121" si="46">+ABS(G109-G120)&lt;1</f>
        <v>1</v>
      </c>
      <c r="H121" s="72" t="b">
        <f t="shared" si="46"/>
        <v>1</v>
      </c>
      <c r="L121" s="13"/>
      <c r="N121" s="13"/>
      <c r="R121" s="13"/>
      <c r="S121" s="13"/>
      <c r="T121" s="13"/>
      <c r="U121" s="13"/>
      <c r="V121" s="13"/>
    </row>
    <row r="123" spans="1:23" x14ac:dyDescent="0.3">
      <c r="A123" s="6" t="s">
        <v>15</v>
      </c>
      <c r="B123" s="12" t="s">
        <v>52</v>
      </c>
      <c r="C123" s="56"/>
      <c r="D123" s="56"/>
      <c r="E123" s="56"/>
      <c r="F123" s="56"/>
      <c r="G123" s="56"/>
      <c r="H123" s="56"/>
      <c r="K123" s="13"/>
      <c r="L123" s="13"/>
      <c r="M123" s="13"/>
      <c r="N123" s="13"/>
      <c r="O123" s="13"/>
      <c r="Q123" s="13"/>
      <c r="R123" s="13"/>
      <c r="S123" s="13"/>
      <c r="T123" s="13"/>
      <c r="U123" s="13"/>
      <c r="V123" s="13"/>
    </row>
    <row r="124" spans="1:23" outlineLevel="1" x14ac:dyDescent="0.3">
      <c r="C124" s="6"/>
      <c r="D124" s="6"/>
      <c r="E124" s="6"/>
      <c r="F124" s="6"/>
      <c r="G124" s="6"/>
      <c r="H124" s="6"/>
    </row>
    <row r="125" spans="1:23" outlineLevel="1" x14ac:dyDescent="0.3">
      <c r="B125" s="6" t="s">
        <v>53</v>
      </c>
      <c r="C125" s="6"/>
      <c r="D125" s="74">
        <f>+D88</f>
        <v>985.05000000000109</v>
      </c>
      <c r="E125" s="74">
        <f>+E88</f>
        <v>1394.0790000000015</v>
      </c>
      <c r="F125" s="74">
        <f>+F88</f>
        <v>1851.6425325000027</v>
      </c>
      <c r="G125" s="74">
        <f>+G88</f>
        <v>1622.0143344375028</v>
      </c>
      <c r="H125" s="74">
        <f>+H88</f>
        <v>1877.2606032609406</v>
      </c>
      <c r="I125" s="13"/>
      <c r="J125" s="13"/>
    </row>
    <row r="126" spans="1:23" outlineLevel="1" x14ac:dyDescent="0.3">
      <c r="B126" s="6" t="s">
        <v>54</v>
      </c>
      <c r="C126" s="6"/>
      <c r="D126" s="74">
        <f>-D96</f>
        <v>-340.11900000000043</v>
      </c>
      <c r="E126" s="74">
        <f>-E96</f>
        <v>-495.55002000000059</v>
      </c>
      <c r="F126" s="74">
        <f>-F96</f>
        <v>-652.32416235000107</v>
      </c>
      <c r="G126" s="74">
        <f>-G96</f>
        <v>-582.16544708625111</v>
      </c>
      <c r="H126" s="74">
        <f>-H96</f>
        <v>-679.15902923915746</v>
      </c>
    </row>
    <row r="127" spans="1:23" outlineLevel="1" x14ac:dyDescent="0.3">
      <c r="B127" s="14" t="s">
        <v>55</v>
      </c>
      <c r="C127" s="75"/>
      <c r="D127" s="76">
        <f>+D125+D126</f>
        <v>644.93100000000072</v>
      </c>
      <c r="E127" s="76">
        <f t="shared" ref="E127:H127" si="47">+E125+E126</f>
        <v>898.52898000000096</v>
      </c>
      <c r="F127" s="76">
        <f t="shared" si="47"/>
        <v>1199.3183701500016</v>
      </c>
      <c r="G127" s="76">
        <f t="shared" si="47"/>
        <v>1039.8488873512517</v>
      </c>
      <c r="H127" s="76">
        <f t="shared" si="47"/>
        <v>1198.1015740217831</v>
      </c>
      <c r="I127" s="18"/>
      <c r="J127" s="18"/>
      <c r="K127" s="18"/>
      <c r="L127" s="18"/>
      <c r="M127" s="18"/>
      <c r="N127" s="18"/>
      <c r="O127" s="18"/>
    </row>
    <row r="128" spans="1:23" outlineLevel="1" x14ac:dyDescent="0.3">
      <c r="B128" s="6" t="s">
        <v>56</v>
      </c>
      <c r="C128" s="6"/>
      <c r="D128" s="74">
        <f>+D87</f>
        <v>418.00000000000006</v>
      </c>
      <c r="E128" s="74">
        <f>+E87</f>
        <v>459.80000000000013</v>
      </c>
      <c r="F128" s="74">
        <f>+F87</f>
        <v>551.7600000000001</v>
      </c>
      <c r="G128" s="74">
        <f>+G87</f>
        <v>662.11200000000019</v>
      </c>
      <c r="H128" s="74">
        <f>+H87</f>
        <v>794.53440000000012</v>
      </c>
      <c r="I128" s="27"/>
      <c r="J128" s="27"/>
      <c r="K128" s="27"/>
      <c r="L128" s="27"/>
      <c r="M128" s="27"/>
      <c r="N128" s="18"/>
      <c r="O128" s="18"/>
    </row>
    <row r="129" spans="2:15" outlineLevel="1" x14ac:dyDescent="0.3">
      <c r="B129" s="6" t="s">
        <v>171</v>
      </c>
      <c r="C129" s="6"/>
      <c r="D129" s="74">
        <f>+D80</f>
        <v>131.25</v>
      </c>
      <c r="E129" s="74">
        <f>+E80</f>
        <v>137.8125</v>
      </c>
      <c r="F129" s="74">
        <f>+F80</f>
        <v>144.703125</v>
      </c>
      <c r="G129" s="74">
        <f>+G80</f>
        <v>151.93828125000002</v>
      </c>
      <c r="H129" s="74">
        <f>+H80</f>
        <v>159.53519531250004</v>
      </c>
      <c r="I129" s="27"/>
      <c r="J129" s="27"/>
      <c r="K129" s="27"/>
      <c r="L129" s="27"/>
      <c r="M129" s="27"/>
      <c r="N129" s="18"/>
      <c r="O129" s="18"/>
    </row>
    <row r="130" spans="2:15" outlineLevel="1" x14ac:dyDescent="0.3">
      <c r="B130" s="6" t="s">
        <v>62</v>
      </c>
      <c r="C130" s="6"/>
      <c r="D130" s="74">
        <f>+D153</f>
        <v>0</v>
      </c>
      <c r="E130" s="74">
        <f t="shared" ref="E130:H130" si="48">+E153</f>
        <v>0</v>
      </c>
      <c r="F130" s="74">
        <f t="shared" si="48"/>
        <v>0</v>
      </c>
      <c r="G130" s="74">
        <f t="shared" si="48"/>
        <v>-30</v>
      </c>
      <c r="H130" s="74">
        <f t="shared" si="48"/>
        <v>-30</v>
      </c>
      <c r="I130" s="28"/>
      <c r="J130" s="28"/>
      <c r="K130" s="28"/>
      <c r="L130" s="28"/>
      <c r="M130" s="28"/>
    </row>
    <row r="131" spans="2:15" outlineLevel="1" x14ac:dyDescent="0.3">
      <c r="B131" s="6" t="s">
        <v>61</v>
      </c>
      <c r="C131" s="6"/>
      <c r="D131" s="74">
        <f>-D158</f>
        <v>-500</v>
      </c>
      <c r="E131" s="74">
        <f t="shared" ref="E131:H131" si="49">-E158</f>
        <v>-350</v>
      </c>
      <c r="F131" s="74">
        <f t="shared" si="49"/>
        <v>-300</v>
      </c>
      <c r="G131" s="74">
        <f t="shared" si="49"/>
        <v>100</v>
      </c>
      <c r="H131" s="74">
        <f t="shared" si="49"/>
        <v>50</v>
      </c>
      <c r="I131" s="28"/>
      <c r="J131" s="28"/>
      <c r="K131" s="28"/>
      <c r="L131" s="28"/>
      <c r="M131" s="28"/>
    </row>
    <row r="132" spans="2:15" outlineLevel="1" x14ac:dyDescent="0.3">
      <c r="B132" s="14" t="s">
        <v>63</v>
      </c>
      <c r="C132" s="75"/>
      <c r="D132" s="76">
        <f t="shared" ref="D132" si="50">+D127+D128+D129+D130+D131</f>
        <v>694.18100000000072</v>
      </c>
      <c r="E132" s="76">
        <f t="shared" ref="E132:H132" si="51">+E127+E128+E129+E130+E131</f>
        <v>1146.1414800000011</v>
      </c>
      <c r="F132" s="76">
        <f t="shared" si="51"/>
        <v>1595.7814951500018</v>
      </c>
      <c r="G132" s="76">
        <f t="shared" si="51"/>
        <v>1923.8991686012521</v>
      </c>
      <c r="H132" s="76">
        <f t="shared" si="51"/>
        <v>2172.1711693342831</v>
      </c>
      <c r="I132" s="28"/>
      <c r="J132" s="28"/>
      <c r="K132" s="28"/>
      <c r="L132" s="28"/>
      <c r="M132" s="28"/>
    </row>
    <row r="133" spans="2:15" outlineLevel="1" x14ac:dyDescent="0.3">
      <c r="B133" s="6" t="s">
        <v>57</v>
      </c>
      <c r="C133" s="6"/>
      <c r="D133" s="74">
        <f>IF(D163&gt;0,-D163,0)</f>
        <v>-1785</v>
      </c>
      <c r="E133" s="74">
        <f t="shared" ref="E133:H133" si="52">IF(E163&gt;0,-E163,0)</f>
        <v>-3123.5</v>
      </c>
      <c r="F133" s="74">
        <f t="shared" si="52"/>
        <v>-1508.2000000000007</v>
      </c>
      <c r="G133" s="74">
        <f t="shared" si="52"/>
        <v>0</v>
      </c>
      <c r="H133" s="74">
        <f t="shared" si="52"/>
        <v>0</v>
      </c>
      <c r="I133" s="28"/>
      <c r="J133" s="28"/>
      <c r="K133" s="28"/>
      <c r="L133" s="28"/>
    </row>
    <row r="134" spans="2:15" outlineLevel="1" x14ac:dyDescent="0.3">
      <c r="B134" s="6" t="s">
        <v>168</v>
      </c>
      <c r="C134" s="6"/>
      <c r="D134" s="74">
        <f>+IF(D163&lt;0,-D163,0)</f>
        <v>0</v>
      </c>
      <c r="E134" s="74">
        <f t="shared" ref="E134:H134" si="53">+IF(E163&lt;0,-E163,0)</f>
        <v>0</v>
      </c>
      <c r="F134" s="74">
        <f t="shared" si="53"/>
        <v>0</v>
      </c>
      <c r="G134" s="74">
        <f t="shared" si="53"/>
        <v>2.8000000000133696E-2</v>
      </c>
      <c r="H134" s="74">
        <f t="shared" si="53"/>
        <v>0.11360000000001946</v>
      </c>
      <c r="I134" s="28"/>
      <c r="J134" s="28"/>
      <c r="K134" s="28"/>
      <c r="L134" s="28"/>
    </row>
    <row r="135" spans="2:15" outlineLevel="1" x14ac:dyDescent="0.3">
      <c r="B135" s="23" t="s">
        <v>159</v>
      </c>
      <c r="C135" s="77"/>
      <c r="D135" s="78">
        <f>+D132+D133</f>
        <v>-1090.8189999999993</v>
      </c>
      <c r="E135" s="78">
        <f t="shared" ref="E135:H135" si="54">+E132+E133</f>
        <v>-1977.3585199999989</v>
      </c>
      <c r="F135" s="78">
        <f t="shared" si="54"/>
        <v>87.581495150001047</v>
      </c>
      <c r="G135" s="78">
        <f t="shared" si="54"/>
        <v>1923.8991686012521</v>
      </c>
      <c r="H135" s="78">
        <f t="shared" si="54"/>
        <v>2172.1711693342831</v>
      </c>
    </row>
    <row r="136" spans="2:15" outlineLevel="1" x14ac:dyDescent="0.3">
      <c r="B136" s="24" t="s">
        <v>85</v>
      </c>
      <c r="C136" s="80"/>
      <c r="D136" s="81">
        <f>+D135/D125</f>
        <v>-1.1073742449621826</v>
      </c>
      <c r="E136" s="81">
        <f t="shared" ref="E136:H136" si="55">+E135/E125</f>
        <v>-1.4183977522077276</v>
      </c>
      <c r="F136" s="81">
        <f t="shared" si="55"/>
        <v>4.7299353742837467E-2</v>
      </c>
      <c r="G136" s="81">
        <f t="shared" si="55"/>
        <v>1.1861172418481984</v>
      </c>
      <c r="H136" s="81">
        <f t="shared" si="55"/>
        <v>1.1570962313708928</v>
      </c>
    </row>
    <row r="137" spans="2:15" outlineLevel="1" x14ac:dyDescent="0.3">
      <c r="B137" s="17" t="s">
        <v>81</v>
      </c>
      <c r="C137" s="17"/>
      <c r="D137" s="74">
        <f>+D93</f>
        <v>0</v>
      </c>
      <c r="E137" s="74">
        <f>+E93</f>
        <v>0</v>
      </c>
      <c r="F137" s="74">
        <f>+F93</f>
        <v>-45</v>
      </c>
      <c r="G137" s="74">
        <f>+G93</f>
        <v>0</v>
      </c>
      <c r="H137" s="74">
        <f>+H93</f>
        <v>0</v>
      </c>
      <c r="I137" s="28"/>
      <c r="J137" s="28"/>
      <c r="K137" s="28"/>
      <c r="L137" s="28"/>
    </row>
    <row r="138" spans="2:15" outlineLevel="1" x14ac:dyDescent="0.3">
      <c r="B138" s="6" t="s">
        <v>77</v>
      </c>
      <c r="C138" s="6"/>
      <c r="D138" s="74">
        <f>+D168</f>
        <v>-90</v>
      </c>
      <c r="E138" s="74">
        <f t="shared" ref="E138:H138" si="56">+E168</f>
        <v>-90</v>
      </c>
      <c r="F138" s="74">
        <f t="shared" si="56"/>
        <v>-90</v>
      </c>
      <c r="G138" s="74">
        <f t="shared" si="56"/>
        <v>-90</v>
      </c>
      <c r="H138" s="74">
        <f t="shared" si="56"/>
        <v>-290</v>
      </c>
    </row>
    <row r="139" spans="2:15" outlineLevel="1" x14ac:dyDescent="0.3">
      <c r="B139" s="14" t="s">
        <v>78</v>
      </c>
      <c r="C139" s="75"/>
      <c r="D139" s="76">
        <f t="shared" ref="D139:E139" si="57">+D135+D138+D137</f>
        <v>-1180.8189999999993</v>
      </c>
      <c r="E139" s="76">
        <f t="shared" si="57"/>
        <v>-2067.3585199999989</v>
      </c>
      <c r="F139" s="76">
        <f>+F135+F138+F137</f>
        <v>-47.418504849998953</v>
      </c>
      <c r="G139" s="76">
        <f t="shared" ref="G139:H139" si="58">+G135+G138+G137</f>
        <v>1833.8991686012521</v>
      </c>
      <c r="H139" s="76">
        <f t="shared" si="58"/>
        <v>1882.1711693342831</v>
      </c>
    </row>
    <row r="140" spans="2:15" outlineLevel="1" x14ac:dyDescent="0.3">
      <c r="B140" s="6" t="s">
        <v>79</v>
      </c>
      <c r="C140" s="6"/>
      <c r="D140" s="74">
        <f>+D173</f>
        <v>0</v>
      </c>
      <c r="E140" s="74">
        <f t="shared" ref="E140:H140" si="59">+E173</f>
        <v>0</v>
      </c>
      <c r="F140" s="74">
        <f t="shared" si="59"/>
        <v>0</v>
      </c>
      <c r="G140" s="74">
        <f t="shared" si="59"/>
        <v>0</v>
      </c>
      <c r="H140" s="74">
        <f t="shared" si="59"/>
        <v>0</v>
      </c>
    </row>
    <row r="141" spans="2:15" outlineLevel="1" x14ac:dyDescent="0.3">
      <c r="B141" s="14" t="s">
        <v>80</v>
      </c>
      <c r="C141" s="75"/>
      <c r="D141" s="76">
        <f>+D139+D140</f>
        <v>-1180.8189999999993</v>
      </c>
      <c r="E141" s="76">
        <f>+E139+E140</f>
        <v>-2067.3585199999989</v>
      </c>
      <c r="F141" s="76">
        <f>+F139+F140</f>
        <v>-47.418504849998953</v>
      </c>
      <c r="G141" s="76">
        <f>+G139+G140</f>
        <v>1833.8991686012521</v>
      </c>
      <c r="H141" s="76">
        <f>+H139+H140</f>
        <v>1882.1711693342831</v>
      </c>
      <c r="I141" s="13"/>
    </row>
    <row r="142" spans="2:15" outlineLevel="1" x14ac:dyDescent="0.3">
      <c r="B142" s="14" t="s">
        <v>84</v>
      </c>
      <c r="C142" s="75"/>
      <c r="D142" s="79">
        <f>+D141/D125</f>
        <v>-1.1987401654738317</v>
      </c>
      <c r="E142" s="79">
        <f>+E141/E125</f>
        <v>-1.4829565038997048</v>
      </c>
      <c r="F142" s="79">
        <f>+F141/F125</f>
        <v>-2.5608887254267521E-2</v>
      </c>
      <c r="G142" s="79">
        <f>+G141/G125</f>
        <v>1.1306306791901617</v>
      </c>
      <c r="H142" s="79">
        <f>+H141/H125</f>
        <v>1.0026158148020645</v>
      </c>
    </row>
    <row r="143" spans="2:15" outlineLevel="1" x14ac:dyDescent="0.3">
      <c r="B143" s="8"/>
      <c r="C143" s="29"/>
      <c r="D143" s="30"/>
      <c r="E143" s="30"/>
      <c r="F143" s="30"/>
      <c r="G143" s="30"/>
      <c r="H143" s="30"/>
    </row>
    <row r="144" spans="2:15" outlineLevel="1" x14ac:dyDescent="0.3">
      <c r="B144" s="89" t="s">
        <v>82</v>
      </c>
      <c r="C144" s="90">
        <f>250</f>
        <v>250</v>
      </c>
      <c r="D144" s="88">
        <f>+D141+C144</f>
        <v>-930.81899999999928</v>
      </c>
      <c r="E144" s="88">
        <f t="shared" ref="E144:H144" si="60">+E141+D144</f>
        <v>-2998.1775199999984</v>
      </c>
      <c r="F144" s="88">
        <f t="shared" si="60"/>
        <v>-3045.5960248499973</v>
      </c>
      <c r="G144" s="88">
        <f t="shared" si="60"/>
        <v>-1211.6968562487452</v>
      </c>
      <c r="H144" s="91">
        <f t="shared" si="60"/>
        <v>670.47431308553791</v>
      </c>
    </row>
    <row r="145" spans="1:8" outlineLevel="1" x14ac:dyDescent="0.3">
      <c r="B145" s="92" t="s">
        <v>44</v>
      </c>
      <c r="C145" s="93" t="b">
        <f t="shared" ref="C145:H145" si="61">+ABS(C144-C103)&lt;0.5</f>
        <v>1</v>
      </c>
      <c r="D145" s="94" t="b">
        <f t="shared" si="61"/>
        <v>1</v>
      </c>
      <c r="E145" s="94" t="b">
        <f t="shared" si="61"/>
        <v>1</v>
      </c>
      <c r="F145" s="94" t="b">
        <f t="shared" si="61"/>
        <v>1</v>
      </c>
      <c r="G145" s="94" t="b">
        <f t="shared" si="61"/>
        <v>1</v>
      </c>
      <c r="H145" s="95" t="b">
        <f t="shared" si="61"/>
        <v>1</v>
      </c>
    </row>
    <row r="146" spans="1:8" x14ac:dyDescent="0.3">
      <c r="D146" s="20"/>
      <c r="E146" s="20"/>
      <c r="F146" s="20"/>
      <c r="G146" s="20"/>
      <c r="H146" s="20"/>
    </row>
    <row r="147" spans="1:8" x14ac:dyDescent="0.3">
      <c r="A147" s="6" t="s">
        <v>15</v>
      </c>
      <c r="B147" s="12" t="s">
        <v>162</v>
      </c>
      <c r="C147" s="56"/>
      <c r="D147" s="56"/>
      <c r="E147" s="56"/>
      <c r="F147" s="56"/>
      <c r="G147" s="56"/>
      <c r="H147" s="56"/>
    </row>
    <row r="148" spans="1:8" outlineLevel="1" x14ac:dyDescent="0.3">
      <c r="A148" s="8"/>
    </row>
    <row r="149" spans="1:8" outlineLevel="1" x14ac:dyDescent="0.3">
      <c r="B149" s="8" t="s">
        <v>64</v>
      </c>
    </row>
    <row r="150" spans="1:8" outlineLevel="1" x14ac:dyDescent="0.3">
      <c r="B150" s="6" t="s">
        <v>65</v>
      </c>
      <c r="D150" s="66">
        <f>+D114</f>
        <v>256.25</v>
      </c>
      <c r="E150" s="66">
        <f>+E114</f>
        <v>394.0625</v>
      </c>
      <c r="F150" s="66">
        <f>+F114</f>
        <v>538.765625</v>
      </c>
      <c r="G150" s="66">
        <f>+G114</f>
        <v>661</v>
      </c>
      <c r="H150" s="66">
        <f>+H114</f>
        <v>790</v>
      </c>
    </row>
    <row r="151" spans="1:8" outlineLevel="1" x14ac:dyDescent="0.3">
      <c r="B151" s="6" t="s">
        <v>66</v>
      </c>
      <c r="D151" s="66">
        <f>+C114</f>
        <v>125</v>
      </c>
      <c r="E151" s="66">
        <f>+D114</f>
        <v>256.25</v>
      </c>
      <c r="F151" s="66">
        <f>+E114</f>
        <v>394.0625</v>
      </c>
      <c r="G151" s="66">
        <f>+F114</f>
        <v>538.765625</v>
      </c>
      <c r="H151" s="66">
        <f>+G114</f>
        <v>661</v>
      </c>
    </row>
    <row r="152" spans="1:8" outlineLevel="1" x14ac:dyDescent="0.3">
      <c r="B152" s="6" t="s">
        <v>67</v>
      </c>
      <c r="D152" s="59">
        <f>+D80</f>
        <v>131.25</v>
      </c>
      <c r="E152" s="59">
        <f>+E80</f>
        <v>137.8125</v>
      </c>
      <c r="F152" s="59">
        <f>+F80</f>
        <v>144.703125</v>
      </c>
      <c r="G152" s="59">
        <f>+G80</f>
        <v>151.93828125000002</v>
      </c>
      <c r="H152" s="59">
        <f>+H80</f>
        <v>159.53519531250004</v>
      </c>
    </row>
    <row r="153" spans="1:8" outlineLevel="1" x14ac:dyDescent="0.3">
      <c r="B153" s="14" t="s">
        <v>64</v>
      </c>
      <c r="C153" s="82"/>
      <c r="D153" s="83">
        <f>+D21</f>
        <v>0</v>
      </c>
      <c r="E153" s="83">
        <f>+E21</f>
        <v>0</v>
      </c>
      <c r="F153" s="83">
        <f>+F21</f>
        <v>0</v>
      </c>
      <c r="G153" s="83">
        <f>+G21</f>
        <v>-30</v>
      </c>
      <c r="H153" s="83">
        <f>+H21</f>
        <v>-30</v>
      </c>
    </row>
    <row r="154" spans="1:8" outlineLevel="1" x14ac:dyDescent="0.3"/>
    <row r="155" spans="1:8" outlineLevel="1" x14ac:dyDescent="0.3">
      <c r="B155" s="6" t="s">
        <v>28</v>
      </c>
      <c r="C155" s="66">
        <f t="shared" ref="C155:H156" si="62">+C104</f>
        <v>1250</v>
      </c>
      <c r="D155" s="66">
        <f t="shared" si="62"/>
        <v>2000</v>
      </c>
      <c r="E155" s="66">
        <f t="shared" si="62"/>
        <v>2400</v>
      </c>
      <c r="F155" s="66">
        <f t="shared" si="62"/>
        <v>2750</v>
      </c>
      <c r="G155" s="66">
        <f t="shared" si="62"/>
        <v>3000</v>
      </c>
      <c r="H155" s="66">
        <f t="shared" si="62"/>
        <v>3150</v>
      </c>
    </row>
    <row r="156" spans="1:8" outlineLevel="1" x14ac:dyDescent="0.3">
      <c r="B156" s="6" t="s">
        <v>29</v>
      </c>
      <c r="C156" s="66">
        <f t="shared" si="62"/>
        <v>500</v>
      </c>
      <c r="D156" s="66">
        <f t="shared" si="62"/>
        <v>650</v>
      </c>
      <c r="E156" s="66">
        <f t="shared" si="62"/>
        <v>800</v>
      </c>
      <c r="F156" s="66">
        <f t="shared" si="62"/>
        <v>950</v>
      </c>
      <c r="G156" s="66">
        <f t="shared" si="62"/>
        <v>1100</v>
      </c>
      <c r="H156" s="66">
        <f t="shared" si="62"/>
        <v>1100</v>
      </c>
    </row>
    <row r="157" spans="1:8" outlineLevel="1" x14ac:dyDescent="0.3">
      <c r="B157" s="6" t="s">
        <v>32</v>
      </c>
      <c r="C157" s="66">
        <f t="shared" ref="C157:H157" si="63">-C112</f>
        <v>-1000</v>
      </c>
      <c r="D157" s="66">
        <f t="shared" si="63"/>
        <v>-1400</v>
      </c>
      <c r="E157" s="66">
        <f t="shared" si="63"/>
        <v>-1600</v>
      </c>
      <c r="F157" s="66">
        <f t="shared" si="63"/>
        <v>-1800</v>
      </c>
      <c r="G157" s="66">
        <f t="shared" si="63"/>
        <v>-2300</v>
      </c>
      <c r="H157" s="66">
        <f t="shared" si="63"/>
        <v>-2500</v>
      </c>
    </row>
    <row r="158" spans="1:8" outlineLevel="1" x14ac:dyDescent="0.3">
      <c r="B158" s="14" t="s">
        <v>51</v>
      </c>
      <c r="C158" s="68"/>
      <c r="D158" s="68">
        <f>+SUM(D155:D157)-SUM(C155:C157)</f>
        <v>500</v>
      </c>
      <c r="E158" s="68">
        <f t="shared" ref="E158:H158" si="64">+SUM(E155:E157)-SUM(D155:D157)</f>
        <v>350</v>
      </c>
      <c r="F158" s="68">
        <f t="shared" si="64"/>
        <v>300</v>
      </c>
      <c r="G158" s="68">
        <f t="shared" si="64"/>
        <v>-100</v>
      </c>
      <c r="H158" s="68">
        <f t="shared" si="64"/>
        <v>-50</v>
      </c>
    </row>
    <row r="159" spans="1:8" outlineLevel="1" x14ac:dyDescent="0.3"/>
    <row r="160" spans="1:8" outlineLevel="1" x14ac:dyDescent="0.3">
      <c r="B160" s="6" t="s">
        <v>58</v>
      </c>
      <c r="C160" s="66"/>
      <c r="D160" s="66">
        <f>+SUM(D106:D107)</f>
        <v>2995</v>
      </c>
      <c r="E160" s="66">
        <f>+SUM(E106:E107)</f>
        <v>5658.7</v>
      </c>
      <c r="F160" s="66">
        <f>+SUM(F106:F107)</f>
        <v>6615.14</v>
      </c>
      <c r="G160" s="66">
        <f>+SUM(G106:G107)</f>
        <v>5953</v>
      </c>
      <c r="H160" s="66">
        <f>+SUM(H106:H107)</f>
        <v>5158.3519999999999</v>
      </c>
    </row>
    <row r="161" spans="1:9" outlineLevel="1" x14ac:dyDescent="0.3">
      <c r="B161" s="6" t="s">
        <v>59</v>
      </c>
      <c r="D161" s="66">
        <f>+SUM(C106:C107)</f>
        <v>1628</v>
      </c>
      <c r="E161" s="66">
        <f>+SUM(D106:D107)</f>
        <v>2995</v>
      </c>
      <c r="F161" s="66">
        <f>+SUM(E106:E107)</f>
        <v>5658.7</v>
      </c>
      <c r="G161" s="66">
        <f>+SUM(F106:F107)</f>
        <v>6615.14</v>
      </c>
      <c r="H161" s="66">
        <f>+SUM(G106:G107)</f>
        <v>5953</v>
      </c>
    </row>
    <row r="162" spans="1:9" outlineLevel="1" x14ac:dyDescent="0.3">
      <c r="B162" s="6" t="s">
        <v>60</v>
      </c>
      <c r="D162" s="59">
        <f>+D87</f>
        <v>418.00000000000006</v>
      </c>
      <c r="E162" s="59">
        <f>+E87</f>
        <v>459.80000000000013</v>
      </c>
      <c r="F162" s="59">
        <f>+F87</f>
        <v>551.7600000000001</v>
      </c>
      <c r="G162" s="59">
        <f>+G87</f>
        <v>662.11200000000019</v>
      </c>
      <c r="H162" s="59">
        <f>+H87</f>
        <v>794.53440000000012</v>
      </c>
    </row>
    <row r="163" spans="1:9" outlineLevel="1" x14ac:dyDescent="0.3">
      <c r="B163" s="14" t="s">
        <v>169</v>
      </c>
      <c r="C163" s="68"/>
      <c r="D163" s="68">
        <f>+(D160-D161)+D162</f>
        <v>1785</v>
      </c>
      <c r="E163" s="68">
        <f t="shared" ref="E163:H163" si="65">+(E160-E161)+E162</f>
        <v>3123.5</v>
      </c>
      <c r="F163" s="68">
        <f t="shared" si="65"/>
        <v>1508.2000000000007</v>
      </c>
      <c r="G163" s="68">
        <f t="shared" si="65"/>
        <v>-2.8000000000133696E-2</v>
      </c>
      <c r="H163" s="68">
        <f t="shared" si="65"/>
        <v>-0.11360000000001946</v>
      </c>
    </row>
    <row r="164" spans="1:9" outlineLevel="1" x14ac:dyDescent="0.3"/>
    <row r="165" spans="1:9" outlineLevel="1" x14ac:dyDescent="0.3">
      <c r="B165" s="6" t="s">
        <v>73</v>
      </c>
      <c r="C165" s="66"/>
      <c r="D165" s="66">
        <f>+D113</f>
        <v>200</v>
      </c>
      <c r="E165" s="66">
        <f>+E113</f>
        <v>200</v>
      </c>
      <c r="F165" s="66">
        <f>+F113</f>
        <v>200</v>
      </c>
      <c r="G165" s="66">
        <f>+G113</f>
        <v>200</v>
      </c>
      <c r="H165" s="66">
        <f>+H113</f>
        <v>0</v>
      </c>
    </row>
    <row r="166" spans="1:9" outlineLevel="1" x14ac:dyDescent="0.3">
      <c r="B166" s="6" t="s">
        <v>74</v>
      </c>
      <c r="D166" s="66">
        <f>-C113</f>
        <v>-200</v>
      </c>
      <c r="E166" s="66">
        <f>-D113</f>
        <v>-200</v>
      </c>
      <c r="F166" s="66">
        <f>-E113</f>
        <v>-200</v>
      </c>
      <c r="G166" s="66">
        <f>-F113</f>
        <v>-200</v>
      </c>
      <c r="H166" s="66">
        <f>-G113</f>
        <v>-200</v>
      </c>
    </row>
    <row r="167" spans="1:9" outlineLevel="1" x14ac:dyDescent="0.3">
      <c r="B167" s="6" t="s">
        <v>24</v>
      </c>
      <c r="D167" s="59">
        <f>+D92</f>
        <v>-90</v>
      </c>
      <c r="E167" s="59">
        <f>+E92</f>
        <v>-90</v>
      </c>
      <c r="F167" s="59">
        <f>+F92</f>
        <v>-90</v>
      </c>
      <c r="G167" s="59">
        <f>+G92</f>
        <v>-90</v>
      </c>
      <c r="H167" s="59">
        <f>+H92</f>
        <v>-90</v>
      </c>
    </row>
    <row r="168" spans="1:9" outlineLevel="1" x14ac:dyDescent="0.3">
      <c r="B168" s="14" t="s">
        <v>75</v>
      </c>
      <c r="C168" s="68"/>
      <c r="D168" s="68">
        <f>SUM(D165:D167)</f>
        <v>-90</v>
      </c>
      <c r="E168" s="68">
        <f t="shared" ref="E168:H168" si="66">SUM(E165:E167)</f>
        <v>-90</v>
      </c>
      <c r="F168" s="68">
        <f t="shared" si="66"/>
        <v>-90</v>
      </c>
      <c r="G168" s="68">
        <f t="shared" si="66"/>
        <v>-90</v>
      </c>
      <c r="H168" s="68">
        <f t="shared" si="66"/>
        <v>-290</v>
      </c>
    </row>
    <row r="169" spans="1:9" outlineLevel="1" x14ac:dyDescent="0.3"/>
    <row r="170" spans="1:9" outlineLevel="1" x14ac:dyDescent="0.3">
      <c r="B170" s="6" t="s">
        <v>71</v>
      </c>
      <c r="D170" s="66">
        <f>+SUM(C119)</f>
        <v>2403.1</v>
      </c>
      <c r="E170" s="66">
        <f>+SUM(D119)</f>
        <v>2958.0310000000009</v>
      </c>
      <c r="F170" s="66">
        <f>+SUM(E119)</f>
        <v>3766.5599800000018</v>
      </c>
      <c r="G170" s="66">
        <f>+SUM(F119)</f>
        <v>4830.8783501500038</v>
      </c>
      <c r="H170" s="66">
        <f>+SUM(G119)</f>
        <v>5780.7272375012553</v>
      </c>
    </row>
    <row r="171" spans="1:9" outlineLevel="1" x14ac:dyDescent="0.3">
      <c r="B171" s="6" t="s">
        <v>72</v>
      </c>
      <c r="D171" s="66">
        <f t="shared" ref="D171:H172" si="67">-D116</f>
        <v>-1528</v>
      </c>
      <c r="E171" s="66">
        <f t="shared" si="67"/>
        <v>-1528</v>
      </c>
      <c r="F171" s="66">
        <f t="shared" si="67"/>
        <v>-1528</v>
      </c>
      <c r="G171" s="66">
        <f t="shared" si="67"/>
        <v>-1528</v>
      </c>
      <c r="H171" s="66">
        <f t="shared" si="67"/>
        <v>-1528</v>
      </c>
    </row>
    <row r="172" spans="1:9" outlineLevel="1" x14ac:dyDescent="0.3">
      <c r="B172" s="6" t="s">
        <v>70</v>
      </c>
      <c r="D172" s="66">
        <f t="shared" si="67"/>
        <v>-875.1</v>
      </c>
      <c r="E172" s="66">
        <f t="shared" si="67"/>
        <v>-1430.0310000000009</v>
      </c>
      <c r="F172" s="66">
        <f t="shared" si="67"/>
        <v>-2238.5599800000018</v>
      </c>
      <c r="G172" s="66">
        <f t="shared" si="67"/>
        <v>-3302.8783501500034</v>
      </c>
      <c r="H172" s="66">
        <f t="shared" si="67"/>
        <v>-4252.7272375012553</v>
      </c>
    </row>
    <row r="173" spans="1:9" outlineLevel="1" x14ac:dyDescent="0.3">
      <c r="A173" s="6" t="s">
        <v>15</v>
      </c>
      <c r="B173" s="14" t="s">
        <v>76</v>
      </c>
      <c r="C173" s="68"/>
      <c r="D173" s="68">
        <f>SUM(D170:D172)</f>
        <v>0</v>
      </c>
      <c r="E173" s="68">
        <f t="shared" ref="E173:H173" si="68">SUM(E170:E172)</f>
        <v>0</v>
      </c>
      <c r="F173" s="68">
        <f t="shared" si="68"/>
        <v>0</v>
      </c>
      <c r="G173" s="68">
        <f t="shared" si="68"/>
        <v>0</v>
      </c>
      <c r="H173" s="68">
        <f t="shared" si="68"/>
        <v>0</v>
      </c>
    </row>
    <row r="174" spans="1:9" outlineLevel="1" x14ac:dyDescent="0.3">
      <c r="B174" s="8"/>
      <c r="C174" s="73"/>
      <c r="D174" s="73"/>
      <c r="E174" s="73"/>
      <c r="F174" s="73"/>
      <c r="G174" s="73"/>
      <c r="H174" s="73"/>
    </row>
    <row r="176" spans="1:9" x14ac:dyDescent="0.3">
      <c r="A176" s="6" t="s">
        <v>86</v>
      </c>
      <c r="B176" s="12" t="s">
        <v>87</v>
      </c>
      <c r="C176" s="11"/>
      <c r="D176" s="11"/>
      <c r="E176" s="11"/>
      <c r="F176" s="11"/>
      <c r="G176" s="11"/>
      <c r="H176" s="11"/>
      <c r="I176" s="84"/>
    </row>
    <row r="177" spans="2:8" outlineLevel="1" x14ac:dyDescent="0.3"/>
    <row r="178" spans="2:8" outlineLevel="1" x14ac:dyDescent="0.3"/>
    <row r="179" spans="2:8" outlineLevel="1" x14ac:dyDescent="0.3">
      <c r="B179" s="6" t="s">
        <v>88</v>
      </c>
      <c r="C179" s="6">
        <f t="shared" ref="C179:H179" si="69">+C4</f>
        <v>2020</v>
      </c>
      <c r="D179" s="6">
        <f t="shared" si="69"/>
        <v>2021</v>
      </c>
      <c r="E179" s="6">
        <f t="shared" si="69"/>
        <v>2022</v>
      </c>
      <c r="F179" s="6">
        <f t="shared" si="69"/>
        <v>2023</v>
      </c>
      <c r="G179" s="6">
        <f t="shared" si="69"/>
        <v>2024</v>
      </c>
      <c r="H179" s="6">
        <f t="shared" si="69"/>
        <v>2025</v>
      </c>
    </row>
    <row r="180" spans="2:8" outlineLevel="1" x14ac:dyDescent="0.3">
      <c r="B180" s="6" t="s">
        <v>89</v>
      </c>
      <c r="C180" s="13">
        <f t="shared" ref="C180:H180" si="70">+C113</f>
        <v>200</v>
      </c>
      <c r="D180" s="13">
        <f t="shared" si="70"/>
        <v>200</v>
      </c>
      <c r="E180" s="13">
        <f t="shared" si="70"/>
        <v>200</v>
      </c>
      <c r="F180" s="13">
        <f t="shared" si="70"/>
        <v>200</v>
      </c>
      <c r="G180" s="13">
        <f t="shared" si="70"/>
        <v>200</v>
      </c>
      <c r="H180" s="13">
        <f t="shared" si="70"/>
        <v>0</v>
      </c>
    </row>
    <row r="181" spans="2:8" outlineLevel="1" x14ac:dyDescent="0.3">
      <c r="B181" s="6" t="s">
        <v>21</v>
      </c>
      <c r="C181" s="10">
        <f t="shared" ref="C181:H181" si="71">+C82</f>
        <v>1035</v>
      </c>
      <c r="D181" s="10">
        <f t="shared" si="71"/>
        <v>1403.0500000000011</v>
      </c>
      <c r="E181" s="10">
        <f t="shared" si="71"/>
        <v>1853.8790000000017</v>
      </c>
      <c r="F181" s="10">
        <f t="shared" si="71"/>
        <v>2403.402532500003</v>
      </c>
      <c r="G181" s="10">
        <f t="shared" si="71"/>
        <v>2284.1263344375029</v>
      </c>
      <c r="H181" s="10">
        <f t="shared" si="71"/>
        <v>2671.7950032609406</v>
      </c>
    </row>
    <row r="182" spans="2:8" outlineLevel="1" x14ac:dyDescent="0.3">
      <c r="B182" s="6" t="s">
        <v>90</v>
      </c>
      <c r="C182" s="7">
        <f>+C180/C181</f>
        <v>0.19323671497584541</v>
      </c>
      <c r="D182" s="7">
        <f t="shared" ref="D182:H182" si="72">+D180/D181</f>
        <v>0.14254659491821378</v>
      </c>
      <c r="E182" s="7">
        <f t="shared" si="72"/>
        <v>0.10788190599278584</v>
      </c>
      <c r="F182" s="7">
        <f t="shared" si="72"/>
        <v>8.3215357101234871E-2</v>
      </c>
      <c r="G182" s="7">
        <f t="shared" si="72"/>
        <v>8.7560831020869395E-2</v>
      </c>
      <c r="H182" s="7">
        <f t="shared" si="72"/>
        <v>0</v>
      </c>
    </row>
    <row r="183" spans="2:8" outlineLevel="1" x14ac:dyDescent="0.3"/>
    <row r="184" spans="2:8" outlineLevel="1" x14ac:dyDescent="0.3"/>
    <row r="185" spans="2:8" outlineLevel="1" x14ac:dyDescent="0.3"/>
    <row r="186" spans="2:8" outlineLevel="1" x14ac:dyDescent="0.3"/>
    <row r="187" spans="2:8" outlineLevel="1" x14ac:dyDescent="0.3"/>
    <row r="188" spans="2:8" outlineLevel="1" x14ac:dyDescent="0.3"/>
    <row r="189" spans="2:8" outlineLevel="1" x14ac:dyDescent="0.3"/>
    <row r="190" spans="2:8" outlineLevel="1" x14ac:dyDescent="0.3"/>
    <row r="191" spans="2:8" outlineLevel="1" x14ac:dyDescent="0.3"/>
    <row r="192" spans="2:8" outlineLevel="1" x14ac:dyDescent="0.3"/>
    <row r="193" spans="2:8" outlineLevel="1" x14ac:dyDescent="0.3"/>
    <row r="194" spans="2:8" outlineLevel="1" x14ac:dyDescent="0.3"/>
    <row r="195" spans="2:8" outlineLevel="1" x14ac:dyDescent="0.3"/>
    <row r="196" spans="2:8" outlineLevel="1" x14ac:dyDescent="0.3"/>
    <row r="197" spans="2:8" outlineLevel="1" x14ac:dyDescent="0.3"/>
    <row r="198" spans="2:8" outlineLevel="1" x14ac:dyDescent="0.3"/>
    <row r="199" spans="2:8" outlineLevel="1" x14ac:dyDescent="0.3">
      <c r="B199" s="6" t="s">
        <v>163</v>
      </c>
      <c r="C199" s="19">
        <f>+C4</f>
        <v>2020</v>
      </c>
      <c r="D199" s="19">
        <f>+C199+1</f>
        <v>2021</v>
      </c>
      <c r="E199" s="19">
        <f t="shared" ref="E199:H199" si="73">+D199+1</f>
        <v>2022</v>
      </c>
      <c r="F199" s="19">
        <f t="shared" si="73"/>
        <v>2023</v>
      </c>
      <c r="G199" s="19">
        <f t="shared" si="73"/>
        <v>2024</v>
      </c>
      <c r="H199" s="19">
        <f t="shared" si="73"/>
        <v>2025</v>
      </c>
    </row>
    <row r="200" spans="2:8" x14ac:dyDescent="0.3">
      <c r="B200" s="6" t="s">
        <v>165</v>
      </c>
      <c r="C200" s="66">
        <f>+C141</f>
        <v>0</v>
      </c>
      <c r="D200" s="66">
        <f t="shared" ref="D200:H200" si="74">+D141</f>
        <v>-1180.8189999999993</v>
      </c>
      <c r="E200" s="66">
        <f t="shared" si="74"/>
        <v>-2067.3585199999989</v>
      </c>
      <c r="F200" s="66">
        <f t="shared" si="74"/>
        <v>-47.418504849998953</v>
      </c>
      <c r="G200" s="66">
        <f t="shared" si="74"/>
        <v>1833.8991686012521</v>
      </c>
      <c r="H200" s="66">
        <f t="shared" si="74"/>
        <v>1882.1711693342831</v>
      </c>
    </row>
    <row r="201" spans="2:8" x14ac:dyDescent="0.3">
      <c r="B201" s="6" t="s">
        <v>164</v>
      </c>
      <c r="C201" s="57">
        <f>+C98</f>
        <v>7.4130434782608695E-2</v>
      </c>
      <c r="D201" s="57">
        <f t="shared" ref="D201:H201" si="75">+D98</f>
        <v>9.6261969192339827E-2</v>
      </c>
      <c r="E201" s="57">
        <f t="shared" si="75"/>
        <v>0.1231015453143614</v>
      </c>
      <c r="F201" s="57">
        <f t="shared" si="75"/>
        <v>0.14222575378455371</v>
      </c>
      <c r="G201" s="57">
        <f t="shared" si="75"/>
        <v>0.12813277900513048</v>
      </c>
      <c r="H201" s="57">
        <f t="shared" si="75"/>
        <v>0.1384492839901508</v>
      </c>
    </row>
    <row r="202" spans="2:8" x14ac:dyDescent="0.3">
      <c r="B202" s="6" t="s">
        <v>166</v>
      </c>
      <c r="C202" s="57">
        <f>+C83</f>
        <v>0.20454545454545456</v>
      </c>
      <c r="D202" s="57">
        <f t="shared" ref="D202:H202" si="76">+D83</f>
        <v>0.24338225090202623</v>
      </c>
      <c r="E202" s="57">
        <f t="shared" si="76"/>
        <v>0.28225997505475059</v>
      </c>
      <c r="F202" s="57">
        <f t="shared" si="76"/>
        <v>0.32116869013953264</v>
      </c>
      <c r="G202" s="57">
        <f t="shared" si="76"/>
        <v>0.30812422768259784</v>
      </c>
      <c r="H202" s="57">
        <f t="shared" si="76"/>
        <v>0.3338214779601677</v>
      </c>
    </row>
  </sheetData>
  <pageMargins left="0.7" right="0.7" top="0.75" bottom="0.75" header="0.3" footer="0.3"/>
  <pageSetup paperSize="9" orientation="portrait" r:id="rId1"/>
  <ignoredErrors>
    <ignoredError sqref="C73 D160:D161 E160:H161" formulaRange="1"/>
    <ignoredError sqref="D125 D138 D127:D131 D140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6F2F-36EB-4D07-97C5-AAA819E18BA5}">
  <sheetPr>
    <tabColor theme="4" tint="0.79998168889431442"/>
    <pageSetUpPr autoPageBreaks="0"/>
  </sheetPr>
  <dimension ref="A2:G43"/>
  <sheetViews>
    <sheetView showGridLines="0" zoomScale="86" zoomScaleNormal="74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9" sqref="F19"/>
    </sheetView>
  </sheetViews>
  <sheetFormatPr defaultRowHeight="14" outlineLevelRow="1" x14ac:dyDescent="0.3"/>
  <cols>
    <col min="1" max="1" width="1.90625" style="6" bestFit="1" customWidth="1"/>
    <col min="2" max="2" width="16.26953125" style="6" bestFit="1" customWidth="1"/>
    <col min="3" max="3" width="9.81640625" style="6" bestFit="1" customWidth="1"/>
    <col min="4" max="4" width="8.453125" style="6" bestFit="1" customWidth="1"/>
    <col min="5" max="5" width="17" style="6" bestFit="1" customWidth="1"/>
    <col min="6" max="6" width="8.90625" style="6" bestFit="1" customWidth="1"/>
    <col min="7" max="7" width="8.36328125" style="6" bestFit="1" customWidth="1"/>
    <col min="8" max="16384" width="8.7265625" style="6"/>
  </cols>
  <sheetData>
    <row r="2" spans="1:7" ht="15" x14ac:dyDescent="0.3">
      <c r="B2" s="3"/>
      <c r="C2" s="3"/>
      <c r="D2" s="3"/>
      <c r="E2" s="3"/>
      <c r="F2" s="3"/>
      <c r="G2" s="3"/>
    </row>
    <row r="3" spans="1:7" ht="15" x14ac:dyDescent="0.3">
      <c r="B3" s="3"/>
      <c r="C3" s="3"/>
      <c r="D3" s="3"/>
      <c r="E3" s="3" t="s">
        <v>0</v>
      </c>
      <c r="F3" s="3"/>
      <c r="G3" s="3"/>
    </row>
    <row r="4" spans="1:7" ht="15" x14ac:dyDescent="0.3">
      <c r="B4" s="3" t="s">
        <v>1</v>
      </c>
      <c r="C4" s="5">
        <v>1</v>
      </c>
      <c r="D4" s="5">
        <f t="shared" ref="D4:G4" si="0">+C4+1</f>
        <v>2</v>
      </c>
      <c r="E4" s="5">
        <f t="shared" si="0"/>
        <v>3</v>
      </c>
      <c r="F4" s="5">
        <f t="shared" si="0"/>
        <v>4</v>
      </c>
      <c r="G4" s="5">
        <f t="shared" si="0"/>
        <v>5</v>
      </c>
    </row>
    <row r="6" spans="1:7" x14ac:dyDescent="0.3">
      <c r="A6" s="6" t="s">
        <v>15</v>
      </c>
      <c r="B6" s="12" t="s">
        <v>95</v>
      </c>
      <c r="C6" s="11"/>
      <c r="D6" s="11"/>
      <c r="E6" s="11"/>
      <c r="F6" s="11"/>
      <c r="G6" s="11"/>
    </row>
    <row r="7" spans="1:7" outlineLevel="1" x14ac:dyDescent="0.3"/>
    <row r="8" spans="1:7" outlineLevel="1" x14ac:dyDescent="0.3">
      <c r="B8" s="6" t="s">
        <v>96</v>
      </c>
      <c r="C8" s="17">
        <f>+'3_statement_model'!D135</f>
        <v>-1090.8189999999993</v>
      </c>
      <c r="D8" s="17">
        <f>+'3_statement_model'!E135</f>
        <v>-1977.3585199999989</v>
      </c>
      <c r="E8" s="17">
        <f>+'3_statement_model'!F135</f>
        <v>87.581495150001047</v>
      </c>
      <c r="F8" s="17">
        <f>+'3_statement_model'!G135</f>
        <v>1923.8991686012521</v>
      </c>
      <c r="G8" s="17">
        <f>+'3_statement_model'!H135</f>
        <v>2172.1711693342831</v>
      </c>
    </row>
    <row r="9" spans="1:7" s="8" customFormat="1" outlineLevel="1" x14ac:dyDescent="0.3">
      <c r="B9" s="23" t="s">
        <v>115</v>
      </c>
      <c r="C9" s="34">
        <f>+C8/(1+$C$42)^C4</f>
        <v>-1016.0503917938681</v>
      </c>
      <c r="D9" s="34">
        <f>+D8/(1+$C$42)^D4</f>
        <v>-1715.5782315155886</v>
      </c>
      <c r="E9" s="34">
        <f>+E8/(1+$C$42)^E4</f>
        <v>70.778281895660257</v>
      </c>
      <c r="F9" s="34">
        <f>+F8/(1+$C$42)^F4</f>
        <v>1448.2132675074292</v>
      </c>
      <c r="G9" s="34">
        <f>+G8/(1+$C$42)^G4</f>
        <v>1523.0242338800554</v>
      </c>
    </row>
    <row r="10" spans="1:7" outlineLevel="1" x14ac:dyDescent="0.3">
      <c r="B10" s="6" t="s">
        <v>97</v>
      </c>
      <c r="G10" s="35">
        <f>+(+'3_statement_model'!H127)*(1+$C$30)/(C42-C30)</f>
        <v>22805.01246563506</v>
      </c>
    </row>
    <row r="11" spans="1:7" outlineLevel="1" x14ac:dyDescent="0.3">
      <c r="G11" s="35"/>
    </row>
    <row r="12" spans="1:7" outlineLevel="1" x14ac:dyDescent="0.3">
      <c r="B12" s="8" t="s">
        <v>116</v>
      </c>
      <c r="E12" s="8" t="s">
        <v>122</v>
      </c>
      <c r="G12" s="35"/>
    </row>
    <row r="13" spans="1:7" outlineLevel="1" x14ac:dyDescent="0.3">
      <c r="B13" s="36" t="s">
        <v>118</v>
      </c>
      <c r="C13" s="37">
        <f>+'3_statement_model'!C113</f>
        <v>200</v>
      </c>
      <c r="E13" s="36" t="s">
        <v>120</v>
      </c>
      <c r="F13" s="38">
        <f>+SUM(C9:G9)</f>
        <v>310.38715997368786</v>
      </c>
      <c r="G13" s="35"/>
    </row>
    <row r="14" spans="1:7" outlineLevel="1" x14ac:dyDescent="0.3">
      <c r="B14" s="39" t="s">
        <v>117</v>
      </c>
      <c r="C14" s="40">
        <f>-'3_statement_model'!C103</f>
        <v>-250</v>
      </c>
      <c r="E14" s="39" t="s">
        <v>172</v>
      </c>
      <c r="F14" s="41">
        <f>+G10/(1+$C$42)^G4</f>
        <v>15989.80187631513</v>
      </c>
      <c r="G14" s="35"/>
    </row>
    <row r="15" spans="1:7" outlineLevel="1" x14ac:dyDescent="0.3">
      <c r="B15" s="42" t="s">
        <v>116</v>
      </c>
      <c r="C15" s="43">
        <f>SUM(C13:C14)</f>
        <v>-50</v>
      </c>
      <c r="E15" s="42" t="s">
        <v>119</v>
      </c>
      <c r="F15" s="44">
        <f>SUM(F13:F14)</f>
        <v>16300.189036288819</v>
      </c>
      <c r="G15" s="35"/>
    </row>
    <row r="16" spans="1:7" outlineLevel="1" x14ac:dyDescent="0.3">
      <c r="G16" s="35"/>
    </row>
    <row r="17" spans="1:7" outlineLevel="1" x14ac:dyDescent="0.3">
      <c r="E17" s="8" t="s">
        <v>123</v>
      </c>
      <c r="G17" s="35"/>
    </row>
    <row r="18" spans="1:7" outlineLevel="1" x14ac:dyDescent="0.3">
      <c r="E18" s="36" t="s">
        <v>124</v>
      </c>
      <c r="F18" s="38">
        <f>+F15</f>
        <v>16300.189036288819</v>
      </c>
      <c r="G18" s="35"/>
    </row>
    <row r="19" spans="1:7" outlineLevel="1" x14ac:dyDescent="0.3">
      <c r="E19" s="39" t="s">
        <v>121</v>
      </c>
      <c r="F19" s="45">
        <f>-C15</f>
        <v>50</v>
      </c>
      <c r="G19" s="35"/>
    </row>
    <row r="20" spans="1:7" outlineLevel="1" x14ac:dyDescent="0.3">
      <c r="E20" s="42" t="s">
        <v>125</v>
      </c>
      <c r="F20" s="44">
        <f>SUM(F18:F19)</f>
        <v>16350.189036288819</v>
      </c>
      <c r="G20" s="35"/>
    </row>
    <row r="21" spans="1:7" outlineLevel="1" x14ac:dyDescent="0.3">
      <c r="G21" s="35"/>
    </row>
    <row r="23" spans="1:7" x14ac:dyDescent="0.3">
      <c r="A23" s="6" t="s">
        <v>15</v>
      </c>
      <c r="B23" s="12" t="s">
        <v>98</v>
      </c>
      <c r="C23" s="11"/>
      <c r="D23" s="11"/>
      <c r="E23" s="11"/>
      <c r="F23" s="11"/>
      <c r="G23" s="11"/>
    </row>
    <row r="24" spans="1:7" outlineLevel="1" x14ac:dyDescent="0.3"/>
    <row r="25" spans="1:7" outlineLevel="1" x14ac:dyDescent="0.3">
      <c r="B25" s="6" t="s">
        <v>99</v>
      </c>
      <c r="C25" s="22">
        <v>3.5000000000000003E-2</v>
      </c>
    </row>
    <row r="26" spans="1:7" outlineLevel="1" x14ac:dyDescent="0.3">
      <c r="B26" s="6" t="s">
        <v>100</v>
      </c>
      <c r="C26" s="22">
        <v>5.5E-2</v>
      </c>
    </row>
    <row r="27" spans="1:7" outlineLevel="1" x14ac:dyDescent="0.3">
      <c r="B27" s="6" t="s">
        <v>101</v>
      </c>
      <c r="C27" s="6">
        <v>1.2</v>
      </c>
    </row>
    <row r="28" spans="1:7" outlineLevel="1" x14ac:dyDescent="0.3">
      <c r="B28" s="6" t="s">
        <v>102</v>
      </c>
      <c r="C28" s="22">
        <v>4.4999999999999998E-2</v>
      </c>
    </row>
    <row r="29" spans="1:7" outlineLevel="1" x14ac:dyDescent="0.3">
      <c r="B29" s="6" t="s">
        <v>103</v>
      </c>
      <c r="C29" s="22">
        <v>0.6</v>
      </c>
    </row>
    <row r="30" spans="1:7" outlineLevel="1" x14ac:dyDescent="0.3">
      <c r="B30" s="6" t="s">
        <v>104</v>
      </c>
      <c r="C30" s="22">
        <v>0.02</v>
      </c>
    </row>
    <row r="31" spans="1:7" outlineLevel="1" x14ac:dyDescent="0.3">
      <c r="B31" s="6" t="s">
        <v>112</v>
      </c>
      <c r="C31" s="22">
        <f>+'3_statement_model'!C20</f>
        <v>0.38</v>
      </c>
    </row>
    <row r="32" spans="1:7" outlineLevel="1" x14ac:dyDescent="0.3"/>
    <row r="33" spans="2:6" outlineLevel="1" x14ac:dyDescent="0.3">
      <c r="B33" s="96" t="s">
        <v>105</v>
      </c>
      <c r="C33" s="97"/>
    </row>
    <row r="34" spans="2:6" outlineLevel="1" x14ac:dyDescent="0.3"/>
    <row r="35" spans="2:6" outlineLevel="1" x14ac:dyDescent="0.3">
      <c r="B35" s="36" t="s">
        <v>106</v>
      </c>
      <c r="C35" s="46">
        <v>0.6</v>
      </c>
      <c r="D35" s="47">
        <f>+C35/$C$37</f>
        <v>0.37499999999999994</v>
      </c>
      <c r="E35" s="48" t="s">
        <v>111</v>
      </c>
      <c r="F35" s="49">
        <f>+C28*(1-C31)</f>
        <v>2.7899999999999998E-2</v>
      </c>
    </row>
    <row r="36" spans="2:6" outlineLevel="1" x14ac:dyDescent="0.3">
      <c r="B36" s="39" t="s">
        <v>107</v>
      </c>
      <c r="C36" s="6">
        <v>1</v>
      </c>
      <c r="D36" s="22">
        <f t="shared" ref="D36:D37" si="1">+C36/$C$37</f>
        <v>0.625</v>
      </c>
      <c r="E36" s="42" t="s">
        <v>110</v>
      </c>
      <c r="F36" s="50">
        <f>+C25+C27*(C26)</f>
        <v>0.10100000000000001</v>
      </c>
    </row>
    <row r="37" spans="2:6" outlineLevel="1" x14ac:dyDescent="0.3">
      <c r="B37" s="39" t="s">
        <v>108</v>
      </c>
      <c r="C37" s="6">
        <f>SUM(C35:C36)</f>
        <v>1.6</v>
      </c>
      <c r="D37" s="22">
        <f t="shared" si="1"/>
        <v>1</v>
      </c>
      <c r="E37" s="39"/>
      <c r="F37" s="45"/>
    </row>
    <row r="38" spans="2:6" outlineLevel="1" x14ac:dyDescent="0.3">
      <c r="B38" s="42" t="s">
        <v>109</v>
      </c>
      <c r="C38" s="24">
        <v>0.6</v>
      </c>
      <c r="D38" s="32"/>
      <c r="E38" s="51"/>
      <c r="F38" s="40"/>
    </row>
    <row r="39" spans="2:6" outlineLevel="1" x14ac:dyDescent="0.3"/>
    <row r="40" spans="2:6" outlineLevel="1" x14ac:dyDescent="0.3">
      <c r="B40" s="6" t="s">
        <v>114</v>
      </c>
      <c r="C40" s="6">
        <f>+D35*F35</f>
        <v>1.0462499999999998E-2</v>
      </c>
    </row>
    <row r="41" spans="2:6" outlineLevel="1" x14ac:dyDescent="0.3">
      <c r="B41" s="6" t="s">
        <v>113</v>
      </c>
      <c r="C41" s="6">
        <f>+D36*F36</f>
        <v>6.3125000000000001E-2</v>
      </c>
    </row>
    <row r="42" spans="2:6" outlineLevel="1" x14ac:dyDescent="0.3">
      <c r="B42" s="52" t="s">
        <v>105</v>
      </c>
      <c r="C42" s="53">
        <f>SUM(C40:C41)</f>
        <v>7.35875E-2</v>
      </c>
    </row>
    <row r="43" spans="2:6" outlineLevel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Info_Schedule</vt:lpstr>
      <vt:lpstr>sensitivity_analysis</vt:lpstr>
      <vt:lpstr>3_statement_model</vt:lpstr>
      <vt:lpstr>EV_EqV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Lattuada</dc:creator>
  <cp:lastModifiedBy>Bryan Josue Lattuada</cp:lastModifiedBy>
  <dcterms:created xsi:type="dcterms:W3CDTF">2015-06-05T18:17:20Z</dcterms:created>
  <dcterms:modified xsi:type="dcterms:W3CDTF">2026-05-25T14:27:50Z</dcterms:modified>
</cp:coreProperties>
</file>